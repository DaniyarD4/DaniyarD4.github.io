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3D6D49C-B14E-45C4-93A0-F2A2E18F3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4" sheetId="9" r:id="rId1"/>
  </sheets>
  <definedNames>
    <definedName name="solver_adj" localSheetId="0" hidden="1">Лист4!$L$17:$M$17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Лист4!$M$13</definedName>
    <definedName name="solver_lhs2" localSheetId="0" hidden="1">Лист4!$M$14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Лист4!$M$12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Лист4!$N$13</definedName>
    <definedName name="solver_rhs2" localSheetId="0" hidden="1">Лист4!$N$14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9" l="1"/>
  <c r="C58" i="9"/>
  <c r="C57" i="9"/>
  <c r="B49" i="9"/>
  <c r="C49" i="9"/>
  <c r="D49" i="9"/>
  <c r="E49" i="9"/>
  <c r="F49" i="9"/>
  <c r="G49" i="9"/>
  <c r="H49" i="9"/>
  <c r="I49" i="9"/>
  <c r="J49" i="9"/>
  <c r="B50" i="9"/>
  <c r="C50" i="9"/>
  <c r="D50" i="9"/>
  <c r="E50" i="9"/>
  <c r="F50" i="9"/>
  <c r="G50" i="9"/>
  <c r="H50" i="9"/>
  <c r="I50" i="9"/>
  <c r="J50" i="9"/>
  <c r="B51" i="9"/>
  <c r="C51" i="9"/>
  <c r="D51" i="9"/>
  <c r="E51" i="9"/>
  <c r="F51" i="9"/>
  <c r="G51" i="9"/>
  <c r="H51" i="9"/>
  <c r="I51" i="9"/>
  <c r="J51" i="9"/>
  <c r="B52" i="9"/>
  <c r="C52" i="9"/>
  <c r="D52" i="9"/>
  <c r="E52" i="9"/>
  <c r="F52" i="9"/>
  <c r="G52" i="9"/>
  <c r="H52" i="9"/>
  <c r="I52" i="9"/>
  <c r="J52" i="9"/>
  <c r="B53" i="9"/>
  <c r="C53" i="9"/>
  <c r="D53" i="9"/>
  <c r="E53" i="9"/>
  <c r="F53" i="9"/>
  <c r="G53" i="9"/>
  <c r="H53" i="9"/>
  <c r="I53" i="9"/>
  <c r="J53" i="9"/>
  <c r="B54" i="9"/>
  <c r="C54" i="9"/>
  <c r="D54" i="9"/>
  <c r="E54" i="9"/>
  <c r="F54" i="9"/>
  <c r="G54" i="9"/>
  <c r="H54" i="9"/>
  <c r="I54" i="9"/>
  <c r="J54" i="9"/>
  <c r="C48" i="9"/>
  <c r="D48" i="9"/>
  <c r="E48" i="9"/>
  <c r="F48" i="9"/>
  <c r="G48" i="9"/>
  <c r="H48" i="9"/>
  <c r="I48" i="9"/>
  <c r="J48" i="9"/>
  <c r="B48" i="9"/>
  <c r="E45" i="9"/>
  <c r="C42" i="9"/>
  <c r="D42" i="9"/>
  <c r="E42" i="9"/>
  <c r="F42" i="9"/>
  <c r="G42" i="9"/>
  <c r="H42" i="9"/>
  <c r="I42" i="9"/>
  <c r="B42" i="9"/>
  <c r="E39" i="9"/>
  <c r="H41" i="9"/>
  <c r="C44" i="9"/>
  <c r="D44" i="9"/>
  <c r="E44" i="9"/>
  <c r="C32" i="9"/>
  <c r="C41" i="9" s="1"/>
  <c r="D32" i="9"/>
  <c r="D41" i="9" s="1"/>
  <c r="E32" i="9"/>
  <c r="E41" i="9" s="1"/>
  <c r="F32" i="9"/>
  <c r="F41" i="9" s="1"/>
  <c r="G32" i="9"/>
  <c r="G41" i="9" s="1"/>
  <c r="H32" i="9"/>
  <c r="I41" i="9" s="1"/>
  <c r="B32" i="9"/>
  <c r="B41" i="9" s="1"/>
  <c r="B30" i="9"/>
  <c r="B39" i="9" s="1"/>
  <c r="C30" i="9"/>
  <c r="C39" i="9" s="1"/>
  <c r="D30" i="9"/>
  <c r="D39" i="9" s="1"/>
  <c r="E30" i="9"/>
  <c r="F30" i="9"/>
  <c r="F39" i="9" s="1"/>
  <c r="G30" i="9"/>
  <c r="G39" i="9" s="1"/>
  <c r="H30" i="9"/>
  <c r="H39" i="9" s="1"/>
  <c r="B31" i="9"/>
  <c r="B40" i="9" s="1"/>
  <c r="C31" i="9"/>
  <c r="C40" i="9" s="1"/>
  <c r="D31" i="9"/>
  <c r="D40" i="9" s="1"/>
  <c r="E31" i="9"/>
  <c r="E40" i="9" s="1"/>
  <c r="F31" i="9"/>
  <c r="F40" i="9" s="1"/>
  <c r="G31" i="9"/>
  <c r="G40" i="9" s="1"/>
  <c r="H31" i="9"/>
  <c r="H40" i="9" s="1"/>
  <c r="B34" i="9"/>
  <c r="C34" i="9"/>
  <c r="D34" i="9"/>
  <c r="E34" i="9"/>
  <c r="E35" i="9" s="1"/>
  <c r="F34" i="9"/>
  <c r="F44" i="9" s="1"/>
  <c r="G34" i="9"/>
  <c r="G44" i="9" s="1"/>
  <c r="H34" i="9"/>
  <c r="H44" i="9" s="1"/>
  <c r="C29" i="9"/>
  <c r="C38" i="9" s="1"/>
  <c r="D29" i="9"/>
  <c r="D38" i="9" s="1"/>
  <c r="E29" i="9"/>
  <c r="E38" i="9" s="1"/>
  <c r="F29" i="9"/>
  <c r="F38" i="9" s="1"/>
  <c r="G29" i="9"/>
  <c r="G38" i="9" s="1"/>
  <c r="H29" i="9"/>
  <c r="H38" i="9" s="1"/>
  <c r="B29" i="9"/>
  <c r="G26" i="9"/>
  <c r="E26" i="9"/>
  <c r="I40" i="9" l="1"/>
  <c r="B38" i="9"/>
  <c r="I44" i="9"/>
  <c r="I39" i="9"/>
  <c r="I38" i="9"/>
  <c r="B44" i="9"/>
  <c r="C11" i="9" l="1"/>
  <c r="D11" i="9"/>
  <c r="E11" i="9"/>
  <c r="E17" i="9" s="1"/>
  <c r="F11" i="9"/>
  <c r="G11" i="9"/>
  <c r="B11" i="9"/>
  <c r="B10" i="9"/>
  <c r="C10" i="9"/>
  <c r="D10" i="9"/>
  <c r="E10" i="9"/>
  <c r="F10" i="9"/>
  <c r="G10" i="9"/>
  <c r="B12" i="9"/>
  <c r="C12" i="9"/>
  <c r="D12" i="9"/>
  <c r="E12" i="9"/>
  <c r="F12" i="9"/>
  <c r="G12" i="9"/>
  <c r="C9" i="9"/>
  <c r="C15" i="9" s="1"/>
  <c r="D9" i="9"/>
  <c r="D15" i="9" s="1"/>
  <c r="E9" i="9"/>
  <c r="E15" i="9" s="1"/>
  <c r="F9" i="9"/>
  <c r="F15" i="9" s="1"/>
  <c r="G9" i="9"/>
  <c r="B9" i="9"/>
  <c r="B15" i="9" s="1"/>
  <c r="F16" i="9"/>
  <c r="H10" i="9"/>
  <c r="H4" i="9"/>
  <c r="H5" i="9"/>
  <c r="H3" i="9"/>
  <c r="F17" i="9" l="1"/>
  <c r="G18" i="9"/>
  <c r="E16" i="9"/>
  <c r="D17" i="9"/>
  <c r="D16" i="9"/>
  <c r="H9" i="9"/>
  <c r="C16" i="9"/>
  <c r="F18" i="9"/>
  <c r="G15" i="9"/>
  <c r="E18" i="9"/>
  <c r="H11" i="9"/>
  <c r="D18" i="9"/>
  <c r="C18" i="9"/>
  <c r="B16" i="9"/>
  <c r="B18" i="9"/>
  <c r="G17" i="9"/>
  <c r="C17" i="9"/>
  <c r="B17" i="9"/>
  <c r="G16" i="9"/>
  <c r="J15" i="9" l="1"/>
  <c r="J14" i="9"/>
  <c r="J16" i="9"/>
</calcChain>
</file>

<file path=xl/sharedStrings.xml><?xml version="1.0" encoding="utf-8"?>
<sst xmlns="http://schemas.openxmlformats.org/spreadsheetml/2006/main" count="102" uniqueCount="17">
  <si>
    <t>x1</t>
  </si>
  <si>
    <t>x2</t>
  </si>
  <si>
    <t>x3</t>
  </si>
  <si>
    <t>x4</t>
  </si>
  <si>
    <t>x5</t>
  </si>
  <si>
    <t xml:space="preserve"> </t>
  </si>
  <si>
    <t>B</t>
  </si>
  <si>
    <t>F(X0)</t>
  </si>
  <si>
    <t>min</t>
  </si>
  <si>
    <t>F</t>
  </si>
  <si>
    <t>x6</t>
  </si>
  <si>
    <t>1/2-5/16x3-15/16x5+x6=0</t>
  </si>
  <si>
    <t>29/30-1/6x3-1/15x6+x7=0</t>
  </si>
  <si>
    <t>x7</t>
  </si>
  <si>
    <t>1/2-1/2x3+x8=0</t>
  </si>
  <si>
    <t>x8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</si>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</sst>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&quot; &quot;???/???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0" borderId="5" xfId="0" applyFont="1" applyFill="1" applyBorder="1"/>
    <xf numFmtId="12" fontId="2" fillId="0" borderId="1" xfId="0" applyNumberFormat="1" applyFont="1" applyFill="1" applyBorder="1" applyAlignment="1">
      <alignment horizontal="center" vertical="top" wrapText="1"/>
    </xf>
    <xf numFmtId="12" fontId="0" fillId="0" borderId="0" xfId="0" applyNumberFormat="1"/>
    <xf numFmtId="12" fontId="2" fillId="2" borderId="1" xfId="0" applyNumberFormat="1" applyFont="1" applyFill="1" applyBorder="1" applyAlignment="1">
      <alignment horizontal="center" vertical="top" wrapText="1"/>
    </xf>
    <xf numFmtId="0" fontId="0" fillId="0" borderId="0" xfId="0" applyFill="1"/>
    <xf numFmtId="164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/>
    </xf>
    <xf numFmtId="1" fontId="0" fillId="0" borderId="0" xfId="0" applyNumberFormat="1" applyFill="1"/>
    <xf numFmtId="165" fontId="2" fillId="0" borderId="1" xfId="0" applyNumberFormat="1" applyFont="1" applyFill="1" applyBorder="1" applyAlignment="1">
      <alignment horizontal="center" vertical="top" wrapText="1"/>
    </xf>
    <xf numFmtId="165" fontId="2" fillId="2" borderId="1" xfId="0" applyNumberFormat="1" applyFont="1" applyFill="1" applyBorder="1" applyAlignment="1">
      <alignment horizontal="center" vertical="top" wrapText="1"/>
    </xf>
    <xf numFmtId="0" fontId="1" fillId="4" borderId="5" xfId="0" applyFont="1" applyFill="1" applyBorder="1"/>
    <xf numFmtId="165" fontId="0" fillId="4" borderId="0" xfId="0" applyNumberFormat="1" applyFill="1"/>
    <xf numFmtId="0" fontId="0" fillId="4" borderId="0" xfId="0" applyFill="1"/>
    <xf numFmtId="0" fontId="1" fillId="0" borderId="0" xfId="0" applyFont="1" applyFill="1" applyBorder="1"/>
    <xf numFmtId="0" fontId="1" fillId="0" borderId="1" xfId="0" applyFont="1" applyFill="1" applyBorder="1"/>
    <xf numFmtId="165" fontId="1" fillId="0" borderId="1" xfId="0" applyNumberFormat="1" applyFont="1" applyFill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165" fontId="0" fillId="0" borderId="7" xfId="0" applyNumberFormat="1" applyBorder="1"/>
    <xf numFmtId="0" fontId="0" fillId="0" borderId="8" xfId="0" applyBorder="1"/>
    <xf numFmtId="165" fontId="2" fillId="5" borderId="1" xfId="0" applyNumberFormat="1" applyFont="1" applyFill="1" applyBorder="1" applyAlignment="1">
      <alignment horizontal="center" vertical="top" wrapText="1"/>
    </xf>
    <xf numFmtId="165" fontId="0" fillId="0" borderId="1" xfId="0" applyNumberFormat="1" applyBorder="1"/>
    <xf numFmtId="0" fontId="1" fillId="6" borderId="1" xfId="0" applyFont="1" applyFill="1" applyBorder="1" applyAlignment="1">
      <alignment horizontal="center" vertical="top" wrapText="1"/>
    </xf>
    <xf numFmtId="0" fontId="0" fillId="6" borderId="1" xfId="0" applyFill="1" applyBorder="1"/>
    <xf numFmtId="165" fontId="0" fillId="6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708661</xdr:colOff>
      <xdr:row>2</xdr:row>
      <xdr:rowOff>152400</xdr:rowOff>
    </xdr:from>
    <xdr:to>
      <xdr:col>17</xdr:col>
      <xdr:colOff>121921</xdr:colOff>
      <xdr:row>10</xdr:row>
      <xdr:rowOff>80249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6C7A538-DA82-0012-FB6D-3000CFA3E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2241" y="518160"/>
          <a:ext cx="2247900" cy="1390889"/>
        </a:xfrm>
        <a:prstGeom prst="rect">
          <a:avLst/>
        </a:prstGeom>
      </xdr:spPr>
    </xdr:pic>
    <xdr:clientData/>
  </xdr:twoCellAnchor>
  <xdr:twoCellAnchor editAs="oneCell">
    <xdr:from>
      <xdr:col>13</xdr:col>
      <xdr:colOff>91441</xdr:colOff>
      <xdr:row>0</xdr:row>
      <xdr:rowOff>121920</xdr:rowOff>
    </xdr:from>
    <xdr:to>
      <xdr:col>16</xdr:col>
      <xdr:colOff>221185</xdr:colOff>
      <xdr:row>9</xdr:row>
      <xdr:rowOff>144925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D33BDF6-F163-4BE3-AFA3-DF4F6856A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87941" y="121920"/>
          <a:ext cx="2354784" cy="1668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A98A-DE80-4EC9-B147-A06CDCE3F8EB}">
  <dimension ref="A1:N59"/>
  <sheetViews>
    <sheetView tabSelected="1" topLeftCell="A26" zoomScale="81" workbookViewId="0">
      <selection activeCell="E55" sqref="E55"/>
    </sheetView>
  </sheetViews>
  <sheetFormatPr defaultRowHeight="14.4" x14ac:dyDescent="0.3"/>
  <cols>
    <col min="2" max="2" width="9.21875" bestFit="1" customWidth="1"/>
    <col min="3" max="3" width="9.88671875" bestFit="1" customWidth="1"/>
    <col min="5" max="5" width="9.21875" bestFit="1" customWidth="1"/>
    <col min="7" max="7" width="16.21875" customWidth="1"/>
    <col min="8" max="8" width="24.21875" customWidth="1"/>
    <col min="10" max="10" width="9.88671875" bestFit="1" customWidth="1"/>
    <col min="11" max="12" width="10.44140625" bestFit="1" customWidth="1"/>
    <col min="13" max="13" width="14.77734375" customWidth="1"/>
    <col min="14" max="14" width="14.6640625" customWidth="1"/>
  </cols>
  <sheetData>
    <row r="1" spans="1:14" x14ac:dyDescent="0.3">
      <c r="D1" s="3"/>
      <c r="E1" s="3"/>
      <c r="F1" s="3"/>
      <c r="G1" s="3"/>
    </row>
    <row r="2" spans="1:14" x14ac:dyDescent="0.3">
      <c r="A2" s="5"/>
      <c r="B2" s="7" t="s">
        <v>6</v>
      </c>
      <c r="C2" s="7" t="s">
        <v>0</v>
      </c>
      <c r="D2" s="7" t="s">
        <v>1</v>
      </c>
      <c r="E2" s="7" t="s">
        <v>2</v>
      </c>
      <c r="F2" s="7" t="s">
        <v>3</v>
      </c>
      <c r="G2" s="9" t="s">
        <v>4</v>
      </c>
      <c r="H2" s="10" t="s">
        <v>8</v>
      </c>
    </row>
    <row r="3" spans="1:14" x14ac:dyDescent="0.3">
      <c r="A3" s="6" t="s">
        <v>2</v>
      </c>
      <c r="B3" s="11">
        <v>15</v>
      </c>
      <c r="C3" s="11">
        <v>2</v>
      </c>
      <c r="D3" s="11">
        <v>2</v>
      </c>
      <c r="E3" s="11">
        <v>1</v>
      </c>
      <c r="F3" s="11">
        <v>0</v>
      </c>
      <c r="G3" s="11">
        <v>0</v>
      </c>
      <c r="H3" s="12">
        <f>B3/D3</f>
        <v>7.5</v>
      </c>
    </row>
    <row r="4" spans="1:14" x14ac:dyDescent="0.3">
      <c r="A4" s="8" t="s">
        <v>3</v>
      </c>
      <c r="B4" s="11">
        <v>6</v>
      </c>
      <c r="C4" s="11">
        <v>2</v>
      </c>
      <c r="D4" s="11">
        <v>-1</v>
      </c>
      <c r="E4" s="11">
        <v>0</v>
      </c>
      <c r="F4" s="11">
        <v>1</v>
      </c>
      <c r="G4" s="11">
        <v>0</v>
      </c>
      <c r="H4" s="12">
        <f t="shared" ref="H4:H5" si="0">B4/D4</f>
        <v>-6</v>
      </c>
    </row>
    <row r="5" spans="1:14" x14ac:dyDescent="0.3">
      <c r="A5" s="8" t="s">
        <v>4</v>
      </c>
      <c r="B5" s="11">
        <v>35</v>
      </c>
      <c r="C5" s="11">
        <v>-6</v>
      </c>
      <c r="D5" s="13">
        <v>10</v>
      </c>
      <c r="E5" s="11">
        <v>0</v>
      </c>
      <c r="F5" s="11">
        <v>0</v>
      </c>
      <c r="G5" s="11">
        <v>1</v>
      </c>
      <c r="H5" s="12">
        <f t="shared" si="0"/>
        <v>3.5</v>
      </c>
    </row>
    <row r="6" spans="1:14" x14ac:dyDescent="0.3">
      <c r="A6" s="6" t="s">
        <v>7</v>
      </c>
      <c r="B6" s="11">
        <v>0</v>
      </c>
      <c r="C6" s="11">
        <v>1</v>
      </c>
      <c r="D6" s="11">
        <v>1</v>
      </c>
      <c r="E6" s="11">
        <v>0</v>
      </c>
      <c r="F6" s="11">
        <v>0</v>
      </c>
      <c r="G6" s="11">
        <v>0</v>
      </c>
      <c r="H6" s="12"/>
      <c r="I6" t="s">
        <v>5</v>
      </c>
    </row>
    <row r="7" spans="1:14" x14ac:dyDescent="0.3">
      <c r="C7" s="3"/>
      <c r="D7" s="3"/>
      <c r="E7" s="3"/>
      <c r="F7" s="3"/>
      <c r="G7" s="3"/>
    </row>
    <row r="8" spans="1:14" x14ac:dyDescent="0.3">
      <c r="A8" s="5"/>
      <c r="B8" s="7" t="s">
        <v>6</v>
      </c>
      <c r="C8" s="7" t="s">
        <v>0</v>
      </c>
      <c r="D8" s="7" t="s">
        <v>1</v>
      </c>
      <c r="E8" s="7" t="s">
        <v>2</v>
      </c>
      <c r="F8" s="7" t="s">
        <v>3</v>
      </c>
      <c r="G8" s="9" t="s">
        <v>4</v>
      </c>
      <c r="H8" s="10" t="s">
        <v>8</v>
      </c>
    </row>
    <row r="9" spans="1:14" x14ac:dyDescent="0.3">
      <c r="A9" s="6" t="s">
        <v>2</v>
      </c>
      <c r="B9" s="18">
        <f>B3-(B$5*$D3)/$D$5</f>
        <v>8</v>
      </c>
      <c r="C9" s="18">
        <f t="shared" ref="C9:G9" si="1">C3-(C$5*$D3)/$D$5</f>
        <v>3.2</v>
      </c>
      <c r="D9" s="18">
        <f t="shared" si="1"/>
        <v>0</v>
      </c>
      <c r="E9" s="18">
        <f t="shared" si="1"/>
        <v>1</v>
      </c>
      <c r="F9" s="18">
        <f t="shared" si="1"/>
        <v>0</v>
      </c>
      <c r="G9" s="18">
        <f t="shared" si="1"/>
        <v>-0.2</v>
      </c>
      <c r="H9" s="12">
        <f>B9/C9</f>
        <v>2.5</v>
      </c>
    </row>
    <row r="10" spans="1:14" x14ac:dyDescent="0.3">
      <c r="A10" s="8" t="s">
        <v>3</v>
      </c>
      <c r="B10" s="18">
        <f t="shared" ref="B10:G10" si="2">B4-(B$5*$D4)/$D$5</f>
        <v>9.5</v>
      </c>
      <c r="C10" s="18">
        <f t="shared" si="2"/>
        <v>1.4</v>
      </c>
      <c r="D10" s="18">
        <f t="shared" si="2"/>
        <v>0</v>
      </c>
      <c r="E10" s="18">
        <f t="shared" si="2"/>
        <v>0</v>
      </c>
      <c r="F10" s="18">
        <f t="shared" si="2"/>
        <v>1</v>
      </c>
      <c r="G10" s="18">
        <f t="shared" si="2"/>
        <v>0.1</v>
      </c>
      <c r="H10" s="12">
        <f t="shared" ref="H10:H11" si="3">B10/C10</f>
        <v>6.7857142857142865</v>
      </c>
    </row>
    <row r="11" spans="1:14" x14ac:dyDescent="0.3">
      <c r="A11" s="8" t="s">
        <v>1</v>
      </c>
      <c r="B11" s="18">
        <f>B5/$D$5</f>
        <v>3.5</v>
      </c>
      <c r="C11" s="18">
        <f t="shared" ref="C11:G11" si="4">C5/$D$5</f>
        <v>-0.6</v>
      </c>
      <c r="D11" s="18">
        <f t="shared" si="4"/>
        <v>1</v>
      </c>
      <c r="E11" s="18">
        <f t="shared" si="4"/>
        <v>0</v>
      </c>
      <c r="F11" s="18">
        <f t="shared" si="4"/>
        <v>0</v>
      </c>
      <c r="G11" s="18">
        <f t="shared" si="4"/>
        <v>0.1</v>
      </c>
      <c r="H11" s="12">
        <f t="shared" si="3"/>
        <v>-5.8333333333333339</v>
      </c>
    </row>
    <row r="12" spans="1:14" x14ac:dyDescent="0.3">
      <c r="A12" s="6" t="s">
        <v>7</v>
      </c>
      <c r="B12" s="18">
        <f t="shared" ref="B12:G12" si="5">B6-(B$5*$D6)/$D$5</f>
        <v>-3.5</v>
      </c>
      <c r="C12" s="18">
        <f t="shared" si="5"/>
        <v>1.6</v>
      </c>
      <c r="D12" s="18">
        <f t="shared" si="5"/>
        <v>0</v>
      </c>
      <c r="E12" s="18">
        <f t="shared" si="5"/>
        <v>0</v>
      </c>
      <c r="F12" s="18">
        <f t="shared" si="5"/>
        <v>0</v>
      </c>
      <c r="G12" s="18">
        <f t="shared" si="5"/>
        <v>-0.1</v>
      </c>
      <c r="L12" s="14"/>
      <c r="M12" s="15"/>
      <c r="N12" s="16"/>
    </row>
    <row r="13" spans="1:14" x14ac:dyDescent="0.3">
      <c r="G13" s="4"/>
      <c r="L13" s="14"/>
      <c r="M13" s="15"/>
      <c r="N13" s="16"/>
    </row>
    <row r="14" spans="1:14" x14ac:dyDescent="0.3">
      <c r="A14" s="5"/>
      <c r="B14" s="7" t="s">
        <v>6</v>
      </c>
      <c r="C14" s="7" t="s">
        <v>0</v>
      </c>
      <c r="D14" s="7" t="s">
        <v>1</v>
      </c>
      <c r="E14" s="7" t="s">
        <v>2</v>
      </c>
      <c r="F14" s="7" t="s">
        <v>3</v>
      </c>
      <c r="G14" s="9" t="s">
        <v>4</v>
      </c>
      <c r="H14" s="10"/>
      <c r="I14" s="20" t="s">
        <v>9</v>
      </c>
      <c r="J14" s="21">
        <f>B18</f>
        <v>-7.5</v>
      </c>
      <c r="L14" s="14"/>
      <c r="M14" s="15"/>
      <c r="N14" s="16"/>
    </row>
    <row r="15" spans="1:14" x14ac:dyDescent="0.3">
      <c r="A15" s="8" t="s">
        <v>0</v>
      </c>
      <c r="B15" s="18">
        <f>B9/$C$9</f>
        <v>2.5</v>
      </c>
      <c r="C15" s="18">
        <f t="shared" ref="C15:G15" si="6">C9/$C$9</f>
        <v>1</v>
      </c>
      <c r="D15" s="18">
        <f t="shared" si="6"/>
        <v>0</v>
      </c>
      <c r="E15" s="18">
        <f t="shared" si="6"/>
        <v>0.3125</v>
      </c>
      <c r="F15" s="18">
        <f t="shared" si="6"/>
        <v>0</v>
      </c>
      <c r="G15" s="18">
        <f t="shared" si="6"/>
        <v>-6.25E-2</v>
      </c>
      <c r="H15" s="12"/>
      <c r="I15" s="22" t="s">
        <v>0</v>
      </c>
      <c r="J15" s="21">
        <f>B15</f>
        <v>2.5</v>
      </c>
      <c r="L15" s="14"/>
      <c r="M15" s="14"/>
      <c r="N15" s="14"/>
    </row>
    <row r="16" spans="1:14" x14ac:dyDescent="0.3">
      <c r="A16" s="8" t="s">
        <v>3</v>
      </c>
      <c r="B16" s="18">
        <f t="shared" ref="B16:G16" si="7">B10-$C10/$C$9*B$9</f>
        <v>6</v>
      </c>
      <c r="C16" s="18">
        <f t="shared" si="7"/>
        <v>0</v>
      </c>
      <c r="D16" s="18">
        <f t="shared" si="7"/>
        <v>0</v>
      </c>
      <c r="E16" s="19">
        <f t="shared" si="7"/>
        <v>-0.43749999999999994</v>
      </c>
      <c r="F16" s="18">
        <f t="shared" si="7"/>
        <v>1</v>
      </c>
      <c r="G16" s="18">
        <f t="shared" si="7"/>
        <v>0.1875</v>
      </c>
      <c r="H16" s="12"/>
      <c r="I16" s="22" t="s">
        <v>1</v>
      </c>
      <c r="J16" s="21">
        <f>B17</f>
        <v>5</v>
      </c>
      <c r="L16" s="14"/>
      <c r="M16" s="14"/>
      <c r="N16" s="14"/>
    </row>
    <row r="17" spans="1:14" x14ac:dyDescent="0.3">
      <c r="A17" s="8" t="s">
        <v>1</v>
      </c>
      <c r="B17" s="18">
        <f t="shared" ref="B17:G17" si="8">B11-$C11/$C$9*B$9</f>
        <v>5</v>
      </c>
      <c r="C17" s="18">
        <f t="shared" si="8"/>
        <v>0</v>
      </c>
      <c r="D17" s="18">
        <f t="shared" si="8"/>
        <v>1</v>
      </c>
      <c r="E17" s="18">
        <f t="shared" si="8"/>
        <v>0.18749999999999997</v>
      </c>
      <c r="F17" s="18">
        <f t="shared" si="8"/>
        <v>0</v>
      </c>
      <c r="G17" s="18">
        <f t="shared" si="8"/>
        <v>6.25E-2</v>
      </c>
      <c r="H17" s="12"/>
      <c r="L17" s="17"/>
      <c r="M17" s="17"/>
      <c r="N17" s="14"/>
    </row>
    <row r="18" spans="1:14" x14ac:dyDescent="0.3">
      <c r="A18" s="6" t="s">
        <v>7</v>
      </c>
      <c r="B18" s="18">
        <f t="shared" ref="B18:G18" si="9">B12-$C12/$C$9*B$9</f>
        <v>-7.5</v>
      </c>
      <c r="C18" s="18">
        <f t="shared" si="9"/>
        <v>0</v>
      </c>
      <c r="D18" s="18">
        <f t="shared" si="9"/>
        <v>0</v>
      </c>
      <c r="E18" s="18">
        <f t="shared" si="9"/>
        <v>-0.5</v>
      </c>
      <c r="F18" s="18">
        <f t="shared" si="9"/>
        <v>0</v>
      </c>
      <c r="G18" s="18">
        <f t="shared" si="9"/>
        <v>0</v>
      </c>
      <c r="L18" s="14"/>
      <c r="M18" s="14"/>
      <c r="N18" s="14"/>
    </row>
    <row r="20" spans="1:14" x14ac:dyDescent="0.3">
      <c r="A20" s="5"/>
      <c r="B20" s="7" t="s">
        <v>6</v>
      </c>
      <c r="C20" s="7" t="s">
        <v>0</v>
      </c>
      <c r="D20" s="7" t="s">
        <v>1</v>
      </c>
      <c r="E20" s="7" t="s">
        <v>2</v>
      </c>
      <c r="F20" s="7" t="s">
        <v>3</v>
      </c>
      <c r="G20" s="9" t="s">
        <v>4</v>
      </c>
      <c r="H20" s="24" t="s">
        <v>10</v>
      </c>
      <c r="I20" s="10" t="s">
        <v>8</v>
      </c>
      <c r="L20" s="23" t="s">
        <v>11</v>
      </c>
    </row>
    <row r="21" spans="1:14" x14ac:dyDescent="0.3">
      <c r="A21" s="8" t="s">
        <v>0</v>
      </c>
      <c r="B21" s="18">
        <v>2.5</v>
      </c>
      <c r="C21" s="18">
        <v>1</v>
      </c>
      <c r="D21" s="18">
        <v>0</v>
      </c>
      <c r="E21" s="18">
        <v>0.3125</v>
      </c>
      <c r="F21" s="18">
        <v>0</v>
      </c>
      <c r="G21" s="18">
        <v>-6.25E-2</v>
      </c>
      <c r="H21" s="25">
        <v>0</v>
      </c>
    </row>
    <row r="22" spans="1:14" x14ac:dyDescent="0.3">
      <c r="A22" s="8" t="s">
        <v>3</v>
      </c>
      <c r="B22" s="18">
        <v>6</v>
      </c>
      <c r="C22" s="18">
        <v>0</v>
      </c>
      <c r="D22" s="18">
        <v>0</v>
      </c>
      <c r="E22" s="18">
        <v>-0.43749999999999994</v>
      </c>
      <c r="F22" s="18">
        <v>1</v>
      </c>
      <c r="G22" s="18">
        <v>0.1875</v>
      </c>
      <c r="H22" s="25">
        <v>0</v>
      </c>
    </row>
    <row r="23" spans="1:14" x14ac:dyDescent="0.3">
      <c r="A23" s="8" t="s">
        <v>1</v>
      </c>
      <c r="B23" s="18">
        <v>5</v>
      </c>
      <c r="C23" s="18">
        <v>0</v>
      </c>
      <c r="D23" s="18">
        <v>1</v>
      </c>
      <c r="E23" s="18">
        <v>0.18749999999999997</v>
      </c>
      <c r="F23" s="18">
        <v>0</v>
      </c>
      <c r="G23" s="18">
        <v>6.25E-2</v>
      </c>
      <c r="H23" s="25">
        <v>0</v>
      </c>
    </row>
    <row r="24" spans="1:14" x14ac:dyDescent="0.3">
      <c r="A24" s="8" t="s">
        <v>10</v>
      </c>
      <c r="B24" s="18">
        <v>-0.5</v>
      </c>
      <c r="C24" s="18">
        <v>0</v>
      </c>
      <c r="D24" s="18">
        <v>0</v>
      </c>
      <c r="E24" s="18">
        <v>-0.3125</v>
      </c>
      <c r="F24" s="18">
        <v>0</v>
      </c>
      <c r="G24" s="30">
        <v>-0.9375</v>
      </c>
      <c r="H24" s="25">
        <v>1</v>
      </c>
    </row>
    <row r="25" spans="1:14" x14ac:dyDescent="0.3">
      <c r="A25" s="6" t="s">
        <v>7</v>
      </c>
      <c r="B25" s="18">
        <v>-7.5</v>
      </c>
      <c r="C25" s="18">
        <v>0</v>
      </c>
      <c r="D25" s="18">
        <v>0</v>
      </c>
      <c r="E25" s="18">
        <v>-0.5</v>
      </c>
      <c r="F25" s="18">
        <v>0</v>
      </c>
      <c r="G25" s="18">
        <v>0</v>
      </c>
      <c r="H25" s="25">
        <v>0</v>
      </c>
    </row>
    <row r="26" spans="1:14" x14ac:dyDescent="0.3">
      <c r="A26" s="26"/>
      <c r="B26" s="27"/>
      <c r="C26" s="27"/>
      <c r="D26" s="27"/>
      <c r="E26" s="28">
        <f>E25/E24</f>
        <v>1.6</v>
      </c>
      <c r="F26" s="27"/>
      <c r="G26" s="28">
        <f>G25/G24</f>
        <v>0</v>
      </c>
      <c r="H26" s="29"/>
    </row>
    <row r="28" spans="1:14" x14ac:dyDescent="0.3">
      <c r="A28" s="5"/>
      <c r="B28" s="7" t="s">
        <v>6</v>
      </c>
      <c r="C28" s="7" t="s">
        <v>0</v>
      </c>
      <c r="D28" s="7" t="s">
        <v>1</v>
      </c>
      <c r="E28" s="7" t="s">
        <v>2</v>
      </c>
      <c r="F28" s="7" t="s">
        <v>3</v>
      </c>
      <c r="G28" s="9" t="s">
        <v>4</v>
      </c>
      <c r="H28" s="24" t="s">
        <v>10</v>
      </c>
      <c r="I28" s="24" t="s">
        <v>13</v>
      </c>
      <c r="L28" t="s">
        <v>12</v>
      </c>
    </row>
    <row r="29" spans="1:14" x14ac:dyDescent="0.3">
      <c r="A29" s="8" t="s">
        <v>0</v>
      </c>
      <c r="B29" s="18">
        <f>B21-$G21/$G$24*B$24</f>
        <v>2.5333333333333332</v>
      </c>
      <c r="C29" s="18">
        <f t="shared" ref="C29:H29" si="10">C21-$G21/$G$24*C$24</f>
        <v>1</v>
      </c>
      <c r="D29" s="18">
        <f t="shared" si="10"/>
        <v>0</v>
      </c>
      <c r="E29" s="18">
        <f t="shared" si="10"/>
        <v>0.33333333333333331</v>
      </c>
      <c r="F29" s="18">
        <f t="shared" si="10"/>
        <v>0</v>
      </c>
      <c r="G29" s="18">
        <f t="shared" si="10"/>
        <v>0</v>
      </c>
      <c r="H29" s="18">
        <f t="shared" si="10"/>
        <v>-6.6666666666666666E-2</v>
      </c>
      <c r="I29" s="1">
        <v>0</v>
      </c>
    </row>
    <row r="30" spans="1:14" x14ac:dyDescent="0.3">
      <c r="A30" s="8" t="s">
        <v>3</v>
      </c>
      <c r="B30" s="18">
        <f t="shared" ref="B30:H30" si="11">B22-$G22/$G$24*B$24</f>
        <v>5.9</v>
      </c>
      <c r="C30" s="18">
        <f t="shared" si="11"/>
        <v>0</v>
      </c>
      <c r="D30" s="18">
        <f t="shared" si="11"/>
        <v>0</v>
      </c>
      <c r="E30" s="18">
        <f t="shared" si="11"/>
        <v>-0.49999999999999994</v>
      </c>
      <c r="F30" s="18">
        <f t="shared" si="11"/>
        <v>1</v>
      </c>
      <c r="G30" s="18">
        <f t="shared" si="11"/>
        <v>0</v>
      </c>
      <c r="H30" s="18">
        <f t="shared" si="11"/>
        <v>0.2</v>
      </c>
      <c r="I30" s="1">
        <v>0</v>
      </c>
    </row>
    <row r="31" spans="1:14" x14ac:dyDescent="0.3">
      <c r="A31" s="8" t="s">
        <v>1</v>
      </c>
      <c r="B31" s="18">
        <f t="shared" ref="B31:H31" si="12">B23-$G23/$G$24*B$24</f>
        <v>4.9666666666666668</v>
      </c>
      <c r="C31" s="18">
        <f t="shared" si="12"/>
        <v>0</v>
      </c>
      <c r="D31" s="18">
        <f t="shared" si="12"/>
        <v>1</v>
      </c>
      <c r="E31" s="18">
        <f t="shared" si="12"/>
        <v>0.16666666666666663</v>
      </c>
      <c r="F31" s="18">
        <f t="shared" si="12"/>
        <v>0</v>
      </c>
      <c r="G31" s="18">
        <f t="shared" si="12"/>
        <v>0</v>
      </c>
      <c r="H31" s="18">
        <f t="shared" si="12"/>
        <v>6.6666666666666666E-2</v>
      </c>
      <c r="I31" s="1">
        <v>0</v>
      </c>
    </row>
    <row r="32" spans="1:14" x14ac:dyDescent="0.3">
      <c r="A32" s="8" t="s">
        <v>4</v>
      </c>
      <c r="B32" s="18">
        <f>B24/$G$24</f>
        <v>0.53333333333333333</v>
      </c>
      <c r="C32" s="18">
        <f t="shared" ref="C32:H32" si="13">C24/$G$24</f>
        <v>0</v>
      </c>
      <c r="D32" s="18">
        <f t="shared" si="13"/>
        <v>0</v>
      </c>
      <c r="E32" s="18">
        <f t="shared" si="13"/>
        <v>0.33333333333333331</v>
      </c>
      <c r="F32" s="18">
        <f t="shared" si="13"/>
        <v>0</v>
      </c>
      <c r="G32" s="18">
        <f t="shared" si="13"/>
        <v>1</v>
      </c>
      <c r="H32" s="18">
        <f t="shared" si="13"/>
        <v>-1.0666666666666667</v>
      </c>
      <c r="I32" s="1">
        <v>0</v>
      </c>
    </row>
    <row r="33" spans="1:12" x14ac:dyDescent="0.3">
      <c r="A33" s="8" t="s">
        <v>13</v>
      </c>
      <c r="B33" s="18">
        <v>-0.96666666666666667</v>
      </c>
      <c r="C33" s="18">
        <v>0</v>
      </c>
      <c r="D33" s="18">
        <v>0</v>
      </c>
      <c r="E33" s="18">
        <v>-0.16666666666666666</v>
      </c>
      <c r="F33" s="18">
        <v>0</v>
      </c>
      <c r="G33" s="18">
        <v>0</v>
      </c>
      <c r="H33" s="30">
        <v>-6.6666666666666666E-2</v>
      </c>
      <c r="I33" s="25">
        <v>1</v>
      </c>
    </row>
    <row r="34" spans="1:12" x14ac:dyDescent="0.3">
      <c r="A34" s="6" t="s">
        <v>7</v>
      </c>
      <c r="B34" s="18">
        <f t="shared" ref="B34:H34" si="14">B25-$G25/$G$24*B$24</f>
        <v>-7.5</v>
      </c>
      <c r="C34" s="18">
        <f t="shared" si="14"/>
        <v>0</v>
      </c>
      <c r="D34" s="18">
        <f t="shared" si="14"/>
        <v>0</v>
      </c>
      <c r="E34" s="18">
        <f t="shared" si="14"/>
        <v>-0.5</v>
      </c>
      <c r="F34" s="18">
        <f t="shared" si="14"/>
        <v>0</v>
      </c>
      <c r="G34" s="18">
        <f t="shared" si="14"/>
        <v>0</v>
      </c>
      <c r="H34" s="18">
        <f t="shared" si="14"/>
        <v>0</v>
      </c>
      <c r="I34" s="1">
        <v>0</v>
      </c>
    </row>
    <row r="35" spans="1:12" x14ac:dyDescent="0.3">
      <c r="A35" s="1"/>
      <c r="B35" s="31"/>
      <c r="C35" s="1"/>
      <c r="D35" s="1"/>
      <c r="E35" s="31">
        <f>E34/E33</f>
        <v>3</v>
      </c>
      <c r="F35" s="1"/>
      <c r="G35" s="1"/>
      <c r="H35" s="1">
        <v>0</v>
      </c>
      <c r="I35" s="2">
        <v>0</v>
      </c>
    </row>
    <row r="37" spans="1:12" x14ac:dyDescent="0.3">
      <c r="A37" s="5"/>
      <c r="B37" s="7" t="s">
        <v>6</v>
      </c>
      <c r="C37" s="7" t="s">
        <v>0</v>
      </c>
      <c r="D37" s="7" t="s">
        <v>1</v>
      </c>
      <c r="E37" s="7" t="s">
        <v>2</v>
      </c>
      <c r="F37" s="7" t="s">
        <v>3</v>
      </c>
      <c r="G37" s="9" t="s">
        <v>4</v>
      </c>
      <c r="H37" s="24" t="s">
        <v>10</v>
      </c>
      <c r="I37" s="24" t="s">
        <v>13</v>
      </c>
      <c r="J37" s="24" t="s">
        <v>15</v>
      </c>
      <c r="L37" s="23" t="s">
        <v>14</v>
      </c>
    </row>
    <row r="38" spans="1:12" x14ac:dyDescent="0.3">
      <c r="A38" s="8" t="s">
        <v>0</v>
      </c>
      <c r="B38" s="18">
        <f>B29-$H29/$H$33*B$33</f>
        <v>3.5</v>
      </c>
      <c r="C38" s="18">
        <f t="shared" ref="C38:I38" si="15">C29-$H29/$H$33*C$33</f>
        <v>1</v>
      </c>
      <c r="D38" s="18">
        <f t="shared" si="15"/>
        <v>0</v>
      </c>
      <c r="E38" s="18">
        <f t="shared" si="15"/>
        <v>0.5</v>
      </c>
      <c r="F38" s="18">
        <f t="shared" si="15"/>
        <v>0</v>
      </c>
      <c r="G38" s="18">
        <f t="shared" si="15"/>
        <v>0</v>
      </c>
      <c r="H38" s="18">
        <f t="shared" si="15"/>
        <v>0</v>
      </c>
      <c r="I38" s="18">
        <f t="shared" si="15"/>
        <v>-1</v>
      </c>
      <c r="J38" s="24">
        <v>0</v>
      </c>
    </row>
    <row r="39" spans="1:12" x14ac:dyDescent="0.3">
      <c r="A39" s="8" t="s">
        <v>3</v>
      </c>
      <c r="B39" s="18">
        <f t="shared" ref="B39:I39" si="16">B30-$H30/$H$33*B$33</f>
        <v>3.0000000000000004</v>
      </c>
      <c r="C39" s="18">
        <f t="shared" si="16"/>
        <v>0</v>
      </c>
      <c r="D39" s="18">
        <f t="shared" si="16"/>
        <v>0</v>
      </c>
      <c r="E39" s="18">
        <f t="shared" si="16"/>
        <v>-1</v>
      </c>
      <c r="F39" s="18">
        <f t="shared" si="16"/>
        <v>1</v>
      </c>
      <c r="G39" s="18">
        <f t="shared" si="16"/>
        <v>0</v>
      </c>
      <c r="H39" s="18">
        <f t="shared" si="16"/>
        <v>0</v>
      </c>
      <c r="I39" s="18">
        <f t="shared" si="16"/>
        <v>3</v>
      </c>
      <c r="J39" s="24">
        <v>0</v>
      </c>
    </row>
    <row r="40" spans="1:12" x14ac:dyDescent="0.3">
      <c r="A40" s="8" t="s">
        <v>1</v>
      </c>
      <c r="B40" s="18">
        <f t="shared" ref="B40:I40" si="17">B31-$H31/$H$33*B$33</f>
        <v>4</v>
      </c>
      <c r="C40" s="18">
        <f t="shared" si="17"/>
        <v>0</v>
      </c>
      <c r="D40" s="18">
        <f t="shared" si="17"/>
        <v>1</v>
      </c>
      <c r="E40" s="18">
        <f t="shared" si="17"/>
        <v>0</v>
      </c>
      <c r="F40" s="18">
        <f t="shared" si="17"/>
        <v>0</v>
      </c>
      <c r="G40" s="18">
        <f t="shared" si="17"/>
        <v>0</v>
      </c>
      <c r="H40" s="18">
        <f t="shared" si="17"/>
        <v>0</v>
      </c>
      <c r="I40" s="18">
        <f t="shared" si="17"/>
        <v>1</v>
      </c>
      <c r="J40" s="24">
        <v>0</v>
      </c>
    </row>
    <row r="41" spans="1:12" x14ac:dyDescent="0.3">
      <c r="A41" s="8" t="s">
        <v>4</v>
      </c>
      <c r="B41" s="18">
        <f t="shared" ref="B41:I41" si="18">B32-$H32/$H$33*B$33</f>
        <v>16</v>
      </c>
      <c r="C41" s="18">
        <f t="shared" si="18"/>
        <v>0</v>
      </c>
      <c r="D41" s="18">
        <f t="shared" si="18"/>
        <v>0</v>
      </c>
      <c r="E41" s="18">
        <f t="shared" si="18"/>
        <v>3</v>
      </c>
      <c r="F41" s="18">
        <f t="shared" si="18"/>
        <v>0</v>
      </c>
      <c r="G41" s="18">
        <f t="shared" si="18"/>
        <v>1</v>
      </c>
      <c r="H41" s="18">
        <f t="shared" si="18"/>
        <v>0</v>
      </c>
      <c r="I41" s="18">
        <f t="shared" si="18"/>
        <v>-16</v>
      </c>
      <c r="J41" s="24">
        <v>0</v>
      </c>
    </row>
    <row r="42" spans="1:12" x14ac:dyDescent="0.3">
      <c r="A42" s="8" t="s">
        <v>10</v>
      </c>
      <c r="B42" s="18">
        <f>B33/$H$33</f>
        <v>14.5</v>
      </c>
      <c r="C42" s="18">
        <f t="shared" ref="C42:I42" si="19">C33/$H$33</f>
        <v>0</v>
      </c>
      <c r="D42" s="18">
        <f t="shared" si="19"/>
        <v>0</v>
      </c>
      <c r="E42" s="18">
        <f t="shared" si="19"/>
        <v>2.5</v>
      </c>
      <c r="F42" s="18">
        <f t="shared" si="19"/>
        <v>0</v>
      </c>
      <c r="G42" s="18">
        <f t="shared" si="19"/>
        <v>0</v>
      </c>
      <c r="H42" s="18">
        <f t="shared" si="19"/>
        <v>1</v>
      </c>
      <c r="I42" s="18">
        <f t="shared" si="19"/>
        <v>-15</v>
      </c>
      <c r="J42" s="24">
        <v>0</v>
      </c>
    </row>
    <row r="43" spans="1:12" x14ac:dyDescent="0.3">
      <c r="A43" s="8" t="s">
        <v>15</v>
      </c>
      <c r="B43" s="18">
        <v>-0.5</v>
      </c>
      <c r="C43" s="18">
        <v>0</v>
      </c>
      <c r="D43" s="18">
        <v>0</v>
      </c>
      <c r="E43" s="30">
        <v>-0.5</v>
      </c>
      <c r="F43" s="18">
        <v>0</v>
      </c>
      <c r="G43" s="18">
        <v>0</v>
      </c>
      <c r="H43" s="18">
        <v>0</v>
      </c>
      <c r="I43" s="18">
        <v>0</v>
      </c>
      <c r="J43" s="24">
        <v>1</v>
      </c>
    </row>
    <row r="44" spans="1:12" x14ac:dyDescent="0.3">
      <c r="A44" s="6" t="s">
        <v>7</v>
      </c>
      <c r="B44" s="18">
        <f t="shared" ref="B44:I44" si="20">B34-$H34/$H$33*B$33</f>
        <v>-7.5</v>
      </c>
      <c r="C44" s="18">
        <f t="shared" si="20"/>
        <v>0</v>
      </c>
      <c r="D44" s="18">
        <f t="shared" si="20"/>
        <v>0</v>
      </c>
      <c r="E44" s="18">
        <f t="shared" si="20"/>
        <v>-0.5</v>
      </c>
      <c r="F44" s="18">
        <f t="shared" si="20"/>
        <v>0</v>
      </c>
      <c r="G44" s="18">
        <f t="shared" si="20"/>
        <v>0</v>
      </c>
      <c r="H44" s="18">
        <f t="shared" si="20"/>
        <v>0</v>
      </c>
      <c r="I44" s="18">
        <f t="shared" si="20"/>
        <v>0</v>
      </c>
      <c r="J44" s="24">
        <v>0</v>
      </c>
    </row>
    <row r="45" spans="1:12" x14ac:dyDescent="0.3">
      <c r="A45" s="1"/>
      <c r="B45" s="31"/>
      <c r="C45" s="1"/>
      <c r="D45" s="1"/>
      <c r="E45" s="31">
        <f>E44/E43</f>
        <v>1</v>
      </c>
      <c r="F45" s="1"/>
      <c r="G45" s="1"/>
      <c r="H45" s="1"/>
      <c r="I45" s="2"/>
      <c r="J45" s="24"/>
    </row>
    <row r="47" spans="1:12" x14ac:dyDescent="0.3">
      <c r="A47" s="5"/>
      <c r="B47" s="7" t="s">
        <v>6</v>
      </c>
      <c r="C47" s="7" t="s">
        <v>0</v>
      </c>
      <c r="D47" s="7" t="s">
        <v>1</v>
      </c>
      <c r="E47" s="7" t="s">
        <v>2</v>
      </c>
      <c r="F47" s="7" t="s">
        <v>3</v>
      </c>
      <c r="G47" s="9" t="s">
        <v>4</v>
      </c>
      <c r="H47" s="24" t="s">
        <v>10</v>
      </c>
      <c r="I47" s="24" t="s">
        <v>13</v>
      </c>
      <c r="J47" s="24" t="s">
        <v>15</v>
      </c>
    </row>
    <row r="48" spans="1:12" x14ac:dyDescent="0.3">
      <c r="A48" s="8" t="s">
        <v>0</v>
      </c>
      <c r="B48" s="18">
        <f>B38-$E38/$E$43*B$43</f>
        <v>3</v>
      </c>
      <c r="C48" s="18">
        <f t="shared" ref="C48:J48" si="21">C38-$E38/$E$43*C$43</f>
        <v>1</v>
      </c>
      <c r="D48" s="18">
        <f t="shared" si="21"/>
        <v>0</v>
      </c>
      <c r="E48" s="18">
        <f t="shared" si="21"/>
        <v>0</v>
      </c>
      <c r="F48" s="18">
        <f t="shared" si="21"/>
        <v>0</v>
      </c>
      <c r="G48" s="18">
        <f t="shared" si="21"/>
        <v>0</v>
      </c>
      <c r="H48" s="18">
        <f t="shared" si="21"/>
        <v>0</v>
      </c>
      <c r="I48" s="18">
        <f t="shared" si="21"/>
        <v>-1</v>
      </c>
      <c r="J48" s="18">
        <f t="shared" si="21"/>
        <v>1</v>
      </c>
    </row>
    <row r="49" spans="1:10" x14ac:dyDescent="0.3">
      <c r="A49" s="8" t="s">
        <v>3</v>
      </c>
      <c r="B49" s="18">
        <f t="shared" ref="B49:J49" si="22">B39-$E39/$E$43*B$43</f>
        <v>4</v>
      </c>
      <c r="C49" s="18">
        <f t="shared" si="22"/>
        <v>0</v>
      </c>
      <c r="D49" s="18">
        <f t="shared" si="22"/>
        <v>0</v>
      </c>
      <c r="E49" s="18">
        <f t="shared" si="22"/>
        <v>0</v>
      </c>
      <c r="F49" s="18">
        <f t="shared" si="22"/>
        <v>1</v>
      </c>
      <c r="G49" s="18">
        <f t="shared" si="22"/>
        <v>0</v>
      </c>
      <c r="H49" s="18">
        <f t="shared" si="22"/>
        <v>0</v>
      </c>
      <c r="I49" s="18">
        <f t="shared" si="22"/>
        <v>3</v>
      </c>
      <c r="J49" s="18">
        <f t="shared" si="22"/>
        <v>-2</v>
      </c>
    </row>
    <row r="50" spans="1:10" x14ac:dyDescent="0.3">
      <c r="A50" s="8" t="s">
        <v>1</v>
      </c>
      <c r="B50" s="18">
        <f t="shared" ref="B50:J50" si="23">B40-$E40/$E$43*B$43</f>
        <v>4</v>
      </c>
      <c r="C50" s="18">
        <f t="shared" si="23"/>
        <v>0</v>
      </c>
      <c r="D50" s="18">
        <f t="shared" si="23"/>
        <v>1</v>
      </c>
      <c r="E50" s="18">
        <f t="shared" si="23"/>
        <v>0</v>
      </c>
      <c r="F50" s="18">
        <f t="shared" si="23"/>
        <v>0</v>
      </c>
      <c r="G50" s="18">
        <f t="shared" si="23"/>
        <v>0</v>
      </c>
      <c r="H50" s="18">
        <f t="shared" si="23"/>
        <v>0</v>
      </c>
      <c r="I50" s="18">
        <f t="shared" si="23"/>
        <v>1</v>
      </c>
      <c r="J50" s="18">
        <f t="shared" si="23"/>
        <v>0</v>
      </c>
    </row>
    <row r="51" spans="1:10" x14ac:dyDescent="0.3">
      <c r="A51" s="8" t="s">
        <v>4</v>
      </c>
      <c r="B51" s="18">
        <f t="shared" ref="B51:J51" si="24">B41-$E41/$E$43*B$43</f>
        <v>13</v>
      </c>
      <c r="C51" s="18">
        <f t="shared" si="24"/>
        <v>0</v>
      </c>
      <c r="D51" s="18">
        <f t="shared" si="24"/>
        <v>0</v>
      </c>
      <c r="E51" s="18">
        <f t="shared" si="24"/>
        <v>0</v>
      </c>
      <c r="F51" s="18">
        <f t="shared" si="24"/>
        <v>0</v>
      </c>
      <c r="G51" s="18">
        <f t="shared" si="24"/>
        <v>1</v>
      </c>
      <c r="H51" s="18">
        <f t="shared" si="24"/>
        <v>0</v>
      </c>
      <c r="I51" s="18">
        <f t="shared" si="24"/>
        <v>-16</v>
      </c>
      <c r="J51" s="18">
        <f t="shared" si="24"/>
        <v>6</v>
      </c>
    </row>
    <row r="52" spans="1:10" x14ac:dyDescent="0.3">
      <c r="A52" s="8" t="s">
        <v>10</v>
      </c>
      <c r="B52" s="18">
        <f t="shared" ref="B52:J52" si="25">B42-$E42/$E$43*B$43</f>
        <v>12</v>
      </c>
      <c r="C52" s="18">
        <f t="shared" si="25"/>
        <v>0</v>
      </c>
      <c r="D52" s="18">
        <f t="shared" si="25"/>
        <v>0</v>
      </c>
      <c r="E52" s="18">
        <f t="shared" si="25"/>
        <v>0</v>
      </c>
      <c r="F52" s="18">
        <f t="shared" si="25"/>
        <v>0</v>
      </c>
      <c r="G52" s="18">
        <f t="shared" si="25"/>
        <v>0</v>
      </c>
      <c r="H52" s="18">
        <f t="shared" si="25"/>
        <v>1</v>
      </c>
      <c r="I52" s="18">
        <f t="shared" si="25"/>
        <v>-15</v>
      </c>
      <c r="J52" s="18">
        <f t="shared" si="25"/>
        <v>5</v>
      </c>
    </row>
    <row r="53" spans="1:10" x14ac:dyDescent="0.3">
      <c r="A53" s="8" t="s">
        <v>2</v>
      </c>
      <c r="B53" s="18">
        <f t="shared" ref="B53:J53" si="26">B43-$E43/$E$43*B$43</f>
        <v>0</v>
      </c>
      <c r="C53" s="18">
        <f t="shared" si="26"/>
        <v>0</v>
      </c>
      <c r="D53" s="18">
        <f t="shared" si="26"/>
        <v>0</v>
      </c>
      <c r="E53" s="18">
        <f t="shared" si="26"/>
        <v>0</v>
      </c>
      <c r="F53" s="18">
        <f t="shared" si="26"/>
        <v>0</v>
      </c>
      <c r="G53" s="18">
        <f t="shared" si="26"/>
        <v>0</v>
      </c>
      <c r="H53" s="18">
        <f t="shared" si="26"/>
        <v>0</v>
      </c>
      <c r="I53" s="18">
        <f t="shared" si="26"/>
        <v>0</v>
      </c>
      <c r="J53" s="18">
        <f t="shared" si="26"/>
        <v>0</v>
      </c>
    </row>
    <row r="54" spans="1:10" x14ac:dyDescent="0.3">
      <c r="A54" s="6" t="s">
        <v>7</v>
      </c>
      <c r="B54" s="18">
        <f t="shared" ref="B54:J54" si="27">B44-$E44/$E$43*B$43</f>
        <v>-7</v>
      </c>
      <c r="C54" s="18">
        <f t="shared" si="27"/>
        <v>0</v>
      </c>
      <c r="D54" s="18">
        <f t="shared" si="27"/>
        <v>0</v>
      </c>
      <c r="E54" s="18">
        <f t="shared" si="27"/>
        <v>0</v>
      </c>
      <c r="F54" s="18">
        <f t="shared" si="27"/>
        <v>0</v>
      </c>
      <c r="G54" s="18">
        <f t="shared" si="27"/>
        <v>0</v>
      </c>
      <c r="H54" s="18">
        <f t="shared" si="27"/>
        <v>0</v>
      </c>
      <c r="I54" s="18">
        <f t="shared" si="27"/>
        <v>0</v>
      </c>
      <c r="J54" s="18">
        <f t="shared" si="27"/>
        <v>-1</v>
      </c>
    </row>
    <row r="55" spans="1:10" x14ac:dyDescent="0.3">
      <c r="A55" s="1"/>
      <c r="B55" s="31"/>
      <c r="C55" s="1"/>
      <c r="D55" s="1"/>
      <c r="E55" s="31"/>
      <c r="F55" s="1"/>
      <c r="G55" s="1"/>
      <c r="H55" s="1"/>
      <c r="I55" s="2"/>
      <c r="J55" s="24"/>
    </row>
    <row r="57" spans="1:10" x14ac:dyDescent="0.3">
      <c r="A57" s="32" t="s">
        <v>16</v>
      </c>
      <c r="B57" s="33" t="s">
        <v>9</v>
      </c>
      <c r="C57" s="34">
        <f>B54</f>
        <v>-7</v>
      </c>
    </row>
    <row r="58" spans="1:10" x14ac:dyDescent="0.3">
      <c r="A58" s="33"/>
      <c r="B58" s="33" t="s">
        <v>0</v>
      </c>
      <c r="C58" s="34">
        <f>B48</f>
        <v>3</v>
      </c>
    </row>
    <row r="59" spans="1:10" x14ac:dyDescent="0.3">
      <c r="A59" s="33"/>
      <c r="B59" s="33" t="s">
        <v>1</v>
      </c>
      <c r="C59" s="34">
        <f>B50</f>
        <v>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2023-12-18T20:34:18Z</dcterms:modified>
</cp:coreProperties>
</file>