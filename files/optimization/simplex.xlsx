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OmGTU\third term\Оптимизация\"/>
    </mc:Choice>
  </mc:AlternateContent>
  <xr:revisionPtr revIDLastSave="0" documentId="13_ncr:1_{F0A754D0-001B-45A6-953A-E8223A9BFC5E}" xr6:coauthVersionLast="47" xr6:coauthVersionMax="47" xr10:uidLastSave="{00000000-0000-0000-0000-000000000000}"/>
  <bookViews>
    <workbookView xWindow="2964" yWindow="2964" windowWidth="17280" windowHeight="8880" activeTab="3" xr2:uid="{00000000-000D-0000-FFFF-FFFF00000000}"/>
  </bookViews>
  <sheets>
    <sheet name="Симплекс-метод" sheetId="1" r:id="rId1"/>
    <sheet name="Искусственный базис" sheetId="3" r:id="rId2"/>
    <sheet name="Лист1" sheetId="4" r:id="rId3"/>
    <sheet name="Лист1 (2)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3" i="5" l="1"/>
  <c r="D13" i="5"/>
  <c r="E13" i="5"/>
  <c r="F13" i="5"/>
  <c r="G13" i="5"/>
  <c r="H13" i="5"/>
  <c r="B13" i="5"/>
  <c r="B14" i="5"/>
  <c r="C14" i="5"/>
  <c r="D14" i="5"/>
  <c r="E14" i="5"/>
  <c r="F14" i="5"/>
  <c r="G14" i="5"/>
  <c r="H14" i="5"/>
  <c r="C12" i="5"/>
  <c r="D12" i="5"/>
  <c r="E12" i="5"/>
  <c r="F12" i="5"/>
  <c r="G12" i="5"/>
  <c r="H12" i="5"/>
  <c r="B12" i="5"/>
  <c r="C9" i="5"/>
  <c r="D9" i="5"/>
  <c r="E9" i="5"/>
  <c r="F9" i="5"/>
  <c r="G9" i="5"/>
  <c r="H9" i="5"/>
  <c r="B9" i="5"/>
  <c r="B8" i="5"/>
  <c r="C8" i="5"/>
  <c r="D8" i="5"/>
  <c r="E8" i="5"/>
  <c r="F8" i="5"/>
  <c r="G8" i="5"/>
  <c r="H8" i="5"/>
  <c r="C7" i="5"/>
  <c r="D7" i="5"/>
  <c r="E7" i="5"/>
  <c r="F7" i="5"/>
  <c r="G7" i="5"/>
  <c r="H7" i="5"/>
  <c r="B7" i="5"/>
  <c r="C7" i="4"/>
  <c r="B13" i="4"/>
  <c r="C13" i="4"/>
  <c r="D13" i="4"/>
  <c r="E13" i="4"/>
  <c r="F13" i="4"/>
  <c r="G13" i="4"/>
  <c r="H13" i="4"/>
  <c r="B14" i="4"/>
  <c r="C14" i="4"/>
  <c r="D14" i="4"/>
  <c r="E14" i="4"/>
  <c r="F14" i="4"/>
  <c r="G14" i="4"/>
  <c r="H14" i="4"/>
  <c r="C12" i="4"/>
  <c r="D12" i="4"/>
  <c r="E12" i="4"/>
  <c r="F12" i="4"/>
  <c r="G12" i="4"/>
  <c r="H12" i="4"/>
  <c r="B12" i="4"/>
  <c r="B9" i="4"/>
  <c r="C9" i="4"/>
  <c r="D9" i="4"/>
  <c r="E9" i="4"/>
  <c r="F9" i="4"/>
  <c r="G9" i="4"/>
  <c r="H9" i="4"/>
  <c r="D7" i="4"/>
  <c r="E7" i="4"/>
  <c r="F7" i="4"/>
  <c r="G7" i="4"/>
  <c r="H7" i="4"/>
  <c r="B7" i="4"/>
  <c r="C13" i="3"/>
  <c r="B13" i="3"/>
  <c r="G29" i="3"/>
  <c r="G28" i="3"/>
  <c r="F27" i="3"/>
  <c r="D27" i="3"/>
  <c r="B27" i="3"/>
  <c r="C20" i="3"/>
  <c r="D20" i="3"/>
  <c r="E20" i="3"/>
  <c r="F20" i="3"/>
  <c r="G20" i="3"/>
  <c r="H20" i="3"/>
  <c r="B20" i="3"/>
  <c r="B21" i="3"/>
  <c r="C21" i="3"/>
  <c r="D21" i="3"/>
  <c r="E21" i="3"/>
  <c r="F21" i="3"/>
  <c r="G21" i="3"/>
  <c r="H21" i="3"/>
  <c r="C19" i="3"/>
  <c r="D19" i="3"/>
  <c r="E19" i="3"/>
  <c r="F19" i="3"/>
  <c r="G19" i="3"/>
  <c r="H19" i="3"/>
  <c r="B19" i="3"/>
  <c r="I15" i="3"/>
  <c r="I14" i="3"/>
  <c r="C15" i="3"/>
  <c r="D15" i="3"/>
  <c r="E15" i="3"/>
  <c r="F15" i="3"/>
  <c r="G15" i="3"/>
  <c r="H15" i="3"/>
  <c r="B15" i="3"/>
  <c r="B14" i="3"/>
  <c r="C14" i="3"/>
  <c r="D14" i="3"/>
  <c r="E14" i="3"/>
  <c r="F14" i="3"/>
  <c r="G14" i="3"/>
  <c r="H14" i="3"/>
  <c r="D13" i="3"/>
  <c r="E13" i="3"/>
  <c r="F13" i="3"/>
  <c r="G13" i="3"/>
  <c r="H13" i="3"/>
  <c r="I9" i="3"/>
  <c r="I8" i="3"/>
  <c r="C23" i="1" l="1"/>
  <c r="C22" i="1"/>
  <c r="C21" i="1"/>
  <c r="C18" i="1"/>
  <c r="D18" i="1"/>
  <c r="E18" i="1"/>
  <c r="F18" i="1"/>
  <c r="G18" i="1"/>
  <c r="H18" i="1"/>
  <c r="I18" i="1"/>
  <c r="B18" i="1"/>
  <c r="B17" i="1"/>
  <c r="C17" i="1"/>
  <c r="D17" i="1"/>
  <c r="E17" i="1"/>
  <c r="F17" i="1"/>
  <c r="G17" i="1"/>
  <c r="H17" i="1"/>
  <c r="I17" i="1"/>
  <c r="B19" i="1"/>
  <c r="C19" i="1"/>
  <c r="D19" i="1"/>
  <c r="E19" i="1"/>
  <c r="F19" i="1"/>
  <c r="G19" i="1"/>
  <c r="H19" i="1"/>
  <c r="I19" i="1"/>
  <c r="C16" i="1"/>
  <c r="D16" i="1"/>
  <c r="E16" i="1"/>
  <c r="F16" i="1"/>
  <c r="G16" i="1"/>
  <c r="H16" i="1"/>
  <c r="I16" i="1"/>
  <c r="B16" i="1"/>
  <c r="J10" i="1"/>
  <c r="J11" i="1"/>
  <c r="J12" i="1"/>
  <c r="J9" i="1"/>
  <c r="C10" i="1"/>
  <c r="D10" i="1"/>
  <c r="E10" i="1"/>
  <c r="F10" i="1"/>
  <c r="G10" i="1"/>
  <c r="H10" i="1"/>
  <c r="I10" i="1"/>
  <c r="B10" i="1"/>
  <c r="B11" i="1"/>
  <c r="C11" i="1"/>
  <c r="D11" i="1"/>
  <c r="E11" i="1"/>
  <c r="F11" i="1"/>
  <c r="G11" i="1"/>
  <c r="H11" i="1"/>
  <c r="I11" i="1"/>
  <c r="B12" i="1"/>
  <c r="C12" i="1"/>
  <c r="D12" i="1"/>
  <c r="E12" i="1"/>
  <c r="F12" i="1"/>
  <c r="G12" i="1"/>
  <c r="H12" i="1"/>
  <c r="I12" i="1"/>
  <c r="C9" i="1"/>
  <c r="D9" i="1"/>
  <c r="E9" i="1"/>
  <c r="F9" i="1"/>
  <c r="G9" i="1"/>
  <c r="H9" i="1"/>
  <c r="I9" i="1"/>
  <c r="B9" i="1"/>
  <c r="J3" i="1"/>
  <c r="J4" i="1"/>
  <c r="J2" i="1"/>
  <c r="H5" i="1"/>
  <c r="I5" i="1"/>
  <c r="G5" i="1"/>
  <c r="G3" i="1"/>
  <c r="I3" i="1"/>
  <c r="G4" i="1"/>
  <c r="H4" i="1"/>
  <c r="H2" i="1"/>
  <c r="I2" i="1"/>
</calcChain>
</file>

<file path=xl/sharedStrings.xml><?xml version="1.0" encoding="utf-8"?>
<sst xmlns="http://schemas.openxmlformats.org/spreadsheetml/2006/main" count="163" uniqueCount="23">
  <si>
    <t>x1</t>
  </si>
  <si>
    <t>x2</t>
  </si>
  <si>
    <t>x3</t>
  </si>
  <si>
    <t>x4</t>
  </si>
  <si>
    <t>B</t>
  </si>
  <si>
    <t>Basis</t>
  </si>
  <si>
    <t>x5</t>
  </si>
  <si>
    <t>x6</t>
  </si>
  <si>
    <t>x7</t>
  </si>
  <si>
    <t>F(x0)</t>
  </si>
  <si>
    <t>Ответ:</t>
  </si>
  <si>
    <t>Корни</t>
  </si>
  <si>
    <t>Функция</t>
  </si>
  <si>
    <t>знак</t>
  </si>
  <si>
    <t>огран.</t>
  </si>
  <si>
    <t>--&gt;</t>
  </si>
  <si>
    <t>=</t>
  </si>
  <si>
    <t>max</t>
  </si>
  <si>
    <t>t1</t>
  </si>
  <si>
    <t>t2</t>
  </si>
  <si>
    <t>h</t>
  </si>
  <si>
    <t>Ответ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</si>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</sst>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&quot; &quot;???/???"/>
  </numFmts>
  <fonts count="2" x14ac:knownFonts="1">
    <font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2" borderId="0" xfId="0" applyFill="1"/>
    <xf numFmtId="0" fontId="0" fillId="0" borderId="1" xfId="0" applyBorder="1"/>
    <xf numFmtId="0" fontId="0" fillId="2" borderId="1" xfId="0" applyFill="1" applyBorder="1"/>
    <xf numFmtId="0" fontId="0" fillId="0" borderId="1" xfId="0" applyFill="1" applyBorder="1"/>
    <xf numFmtId="0" fontId="0" fillId="0" borderId="0" xfId="0" applyFill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/>
    </xf>
    <xf numFmtId="49" fontId="0" fillId="0" borderId="1" xfId="0" applyNumberFormat="1" applyBorder="1"/>
    <xf numFmtId="0" fontId="0" fillId="0" borderId="1" xfId="0" applyBorder="1"/>
    <xf numFmtId="0" fontId="0" fillId="6" borderId="1" xfId="0" applyFill="1" applyBorder="1"/>
    <xf numFmtId="0" fontId="1" fillId="0" borderId="1" xfId="0" applyFont="1" applyBorder="1"/>
    <xf numFmtId="0" fontId="1" fillId="0" borderId="1" xfId="0" applyFont="1" applyFill="1" applyBorder="1"/>
    <xf numFmtId="0" fontId="0" fillId="0" borderId="1" xfId="0" applyFill="1" applyBorder="1"/>
    <xf numFmtId="0" fontId="0" fillId="7" borderId="1" xfId="0" applyFill="1" applyBorder="1"/>
    <xf numFmtId="0" fontId="1" fillId="0" borderId="0" xfId="0" applyFont="1" applyBorder="1"/>
    <xf numFmtId="0" fontId="1" fillId="0" borderId="0" xfId="0" applyFont="1" applyFill="1" applyBorder="1"/>
    <xf numFmtId="0" fontId="0" fillId="7" borderId="0" xfId="0" applyFill="1" applyBorder="1"/>
    <xf numFmtId="0" fontId="0" fillId="8" borderId="1" xfId="0" applyFill="1" applyBorder="1"/>
    <xf numFmtId="164" fontId="0" fillId="0" borderId="0" xfId="0" applyNumberFormat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164" fontId="0" fillId="2" borderId="0" xfId="0" applyNumberFormat="1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144780</xdr:colOff>
      <xdr:row>0</xdr:row>
      <xdr:rowOff>91440</xdr:rowOff>
    </xdr:from>
    <xdr:to>
      <xdr:col>14</xdr:col>
      <xdr:colOff>586990</xdr:colOff>
      <xdr:row>9</xdr:row>
      <xdr:rowOff>83962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D0022613-22FC-407C-92A4-CF24A274BC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40780" y="91440"/>
          <a:ext cx="2880610" cy="163844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45720</xdr:colOff>
      <xdr:row>0</xdr:row>
      <xdr:rowOff>0</xdr:rowOff>
    </xdr:from>
    <xdr:to>
      <xdr:col>11</xdr:col>
      <xdr:colOff>91708</xdr:colOff>
      <xdr:row>4</xdr:row>
      <xdr:rowOff>83820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48CC171-B487-4E39-8CBC-C29CD1A066F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8227"/>
        <a:stretch/>
      </xdr:blipFill>
      <xdr:spPr>
        <a:xfrm>
          <a:off x="3703320" y="0"/>
          <a:ext cx="3093988" cy="8305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3"/>
  <sheetViews>
    <sheetView workbookViewId="0">
      <selection activeCell="B9" sqref="B9"/>
    </sheetView>
  </sheetViews>
  <sheetFormatPr defaultRowHeight="14.4" x14ac:dyDescent="0.3"/>
  <sheetData>
    <row r="1" spans="1:10" x14ac:dyDescent="0.3">
      <c r="A1" s="2" t="s">
        <v>5</v>
      </c>
      <c r="B1" s="2" t="s">
        <v>4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6</v>
      </c>
      <c r="H1" s="2" t="s">
        <v>7</v>
      </c>
      <c r="I1" s="2" t="s">
        <v>8</v>
      </c>
      <c r="J1" s="2"/>
    </row>
    <row r="2" spans="1:10" x14ac:dyDescent="0.3">
      <c r="A2" s="2" t="s">
        <v>6</v>
      </c>
      <c r="B2" s="2">
        <v>76</v>
      </c>
      <c r="C2" s="2">
        <v>19</v>
      </c>
      <c r="D2" s="4">
        <v>23</v>
      </c>
      <c r="E2" s="6">
        <v>-15</v>
      </c>
      <c r="F2" s="2">
        <v>19</v>
      </c>
      <c r="G2" s="2">
        <v>1</v>
      </c>
      <c r="H2" s="2">
        <f>0</f>
        <v>0</v>
      </c>
      <c r="I2" s="2">
        <f>0</f>
        <v>0</v>
      </c>
      <c r="J2" s="2">
        <f>B2/E2</f>
        <v>-5.0666666666666664</v>
      </c>
    </row>
    <row r="3" spans="1:10" s="5" customFormat="1" x14ac:dyDescent="0.3">
      <c r="A3" s="4" t="s">
        <v>7</v>
      </c>
      <c r="B3" s="6">
        <v>58</v>
      </c>
      <c r="C3" s="6">
        <v>20</v>
      </c>
      <c r="D3" s="6">
        <v>10</v>
      </c>
      <c r="E3" s="7">
        <v>18</v>
      </c>
      <c r="F3" s="6">
        <v>22</v>
      </c>
      <c r="G3" s="6">
        <f>0</f>
        <v>0</v>
      </c>
      <c r="H3" s="6">
        <v>1</v>
      </c>
      <c r="I3" s="6">
        <f>0</f>
        <v>0</v>
      </c>
      <c r="J3" s="6">
        <f>B3/E3</f>
        <v>3.2222222222222223</v>
      </c>
    </row>
    <row r="4" spans="1:10" x14ac:dyDescent="0.3">
      <c r="A4" s="2" t="s">
        <v>8</v>
      </c>
      <c r="B4" s="2">
        <v>72</v>
      </c>
      <c r="C4" s="2">
        <v>13</v>
      </c>
      <c r="D4" s="4">
        <v>20</v>
      </c>
      <c r="E4" s="6">
        <v>14</v>
      </c>
      <c r="F4" s="2">
        <v>21</v>
      </c>
      <c r="G4" s="2">
        <f>0</f>
        <v>0</v>
      </c>
      <c r="H4" s="2">
        <f>0</f>
        <v>0</v>
      </c>
      <c r="I4" s="2">
        <v>1</v>
      </c>
      <c r="J4" s="2">
        <f>B4/E4</f>
        <v>5.1428571428571432</v>
      </c>
    </row>
    <row r="5" spans="1:10" x14ac:dyDescent="0.3">
      <c r="A5" s="2" t="s">
        <v>9</v>
      </c>
      <c r="B5" s="2">
        <v>0</v>
      </c>
      <c r="C5" s="2">
        <v>-12</v>
      </c>
      <c r="D5" s="4">
        <v>-13</v>
      </c>
      <c r="E5" s="6">
        <v>-16</v>
      </c>
      <c r="F5" s="2">
        <v>-9</v>
      </c>
      <c r="G5" s="2">
        <f>0</f>
        <v>0</v>
      </c>
      <c r="H5" s="2">
        <f>0</f>
        <v>0</v>
      </c>
      <c r="I5" s="2">
        <f>0</f>
        <v>0</v>
      </c>
      <c r="J5" s="2"/>
    </row>
    <row r="8" spans="1:10" x14ac:dyDescent="0.3">
      <c r="A8" s="2" t="s">
        <v>5</v>
      </c>
      <c r="B8" s="2" t="s">
        <v>4</v>
      </c>
      <c r="C8" s="2" t="s">
        <v>0</v>
      </c>
      <c r="D8" s="2" t="s">
        <v>1</v>
      </c>
      <c r="E8" s="2" t="s">
        <v>2</v>
      </c>
      <c r="F8" s="2" t="s">
        <v>3</v>
      </c>
      <c r="G8" s="2" t="s">
        <v>6</v>
      </c>
      <c r="H8" s="2" t="s">
        <v>7</v>
      </c>
      <c r="I8" s="2" t="s">
        <v>8</v>
      </c>
      <c r="J8" s="2"/>
    </row>
    <row r="9" spans="1:10" s="1" customFormat="1" x14ac:dyDescent="0.3">
      <c r="A9" s="4" t="s">
        <v>6</v>
      </c>
      <c r="B9" s="4">
        <f>B2-$E2/$E$3*B$3</f>
        <v>124.33333333333334</v>
      </c>
      <c r="C9" s="4">
        <f t="shared" ref="C9:I9" si="0">C2-$E2/$E$3*C$3</f>
        <v>35.666666666666671</v>
      </c>
      <c r="D9" s="6">
        <f t="shared" si="0"/>
        <v>31.333333333333336</v>
      </c>
      <c r="E9" s="4">
        <f t="shared" si="0"/>
        <v>0</v>
      </c>
      <c r="F9" s="4">
        <f t="shared" si="0"/>
        <v>37.333333333333336</v>
      </c>
      <c r="G9" s="4">
        <f t="shared" si="0"/>
        <v>1</v>
      </c>
      <c r="H9" s="4">
        <f t="shared" si="0"/>
        <v>0.83333333333333337</v>
      </c>
      <c r="I9" s="4">
        <f t="shared" si="0"/>
        <v>0</v>
      </c>
      <c r="J9" s="4">
        <f>B9/D9</f>
        <v>3.9680851063829787</v>
      </c>
    </row>
    <row r="10" spans="1:10" x14ac:dyDescent="0.3">
      <c r="A10" s="4" t="s">
        <v>7</v>
      </c>
      <c r="B10" s="4">
        <f>B3/$E$3</f>
        <v>3.2222222222222223</v>
      </c>
      <c r="C10" s="4">
        <f t="shared" ref="C10:I10" si="1">C3/$E$3</f>
        <v>1.1111111111111112</v>
      </c>
      <c r="D10" s="6">
        <f t="shared" si="1"/>
        <v>0.55555555555555558</v>
      </c>
      <c r="E10" s="4">
        <f t="shared" si="1"/>
        <v>1</v>
      </c>
      <c r="F10" s="4">
        <f t="shared" si="1"/>
        <v>1.2222222222222223</v>
      </c>
      <c r="G10" s="4">
        <f t="shared" si="1"/>
        <v>0</v>
      </c>
      <c r="H10" s="4">
        <f t="shared" si="1"/>
        <v>5.5555555555555552E-2</v>
      </c>
      <c r="I10" s="4">
        <f t="shared" si="1"/>
        <v>0</v>
      </c>
      <c r="J10" s="4">
        <f>B10/D10</f>
        <v>5.8</v>
      </c>
    </row>
    <row r="11" spans="1:10" x14ac:dyDescent="0.3">
      <c r="A11" s="4" t="s">
        <v>8</v>
      </c>
      <c r="B11" s="6">
        <f t="shared" ref="B11:I11" si="2">B4-$E4/$E$3*B$3</f>
        <v>26.888888888888886</v>
      </c>
      <c r="C11" s="6">
        <f t="shared" si="2"/>
        <v>-2.5555555555555554</v>
      </c>
      <c r="D11" s="7">
        <f t="shared" si="2"/>
        <v>12.222222222222221</v>
      </c>
      <c r="E11" s="6">
        <f t="shared" si="2"/>
        <v>0</v>
      </c>
      <c r="F11" s="6">
        <f t="shared" si="2"/>
        <v>3.8888888888888893</v>
      </c>
      <c r="G11" s="6">
        <f t="shared" si="2"/>
        <v>0</v>
      </c>
      <c r="H11" s="6">
        <f t="shared" si="2"/>
        <v>-0.77777777777777779</v>
      </c>
      <c r="I11" s="6">
        <f t="shared" si="2"/>
        <v>1</v>
      </c>
      <c r="J11" s="6">
        <f>B11/D11</f>
        <v>2.1999999999999997</v>
      </c>
    </row>
    <row r="12" spans="1:10" x14ac:dyDescent="0.3">
      <c r="A12" s="4" t="s">
        <v>9</v>
      </c>
      <c r="B12" s="4">
        <f t="shared" ref="B12:I12" si="3">B5-$E5/$E$3*B$3</f>
        <v>51.55555555555555</v>
      </c>
      <c r="C12" s="4">
        <f t="shared" si="3"/>
        <v>5.7777777777777786</v>
      </c>
      <c r="D12" s="6">
        <f t="shared" si="3"/>
        <v>-4.1111111111111107</v>
      </c>
      <c r="E12" s="4">
        <f t="shared" si="3"/>
        <v>0</v>
      </c>
      <c r="F12" s="4">
        <f t="shared" si="3"/>
        <v>10.555555555555554</v>
      </c>
      <c r="G12" s="4">
        <f t="shared" si="3"/>
        <v>0</v>
      </c>
      <c r="H12" s="4">
        <f t="shared" si="3"/>
        <v>0.88888888888888884</v>
      </c>
      <c r="I12" s="4">
        <f t="shared" si="3"/>
        <v>0</v>
      </c>
      <c r="J12" s="4">
        <f>B12/D12</f>
        <v>-12.54054054054054</v>
      </c>
    </row>
    <row r="15" spans="1:10" x14ac:dyDescent="0.3">
      <c r="A15" s="2" t="s">
        <v>5</v>
      </c>
      <c r="B15" s="2" t="s">
        <v>4</v>
      </c>
      <c r="C15" s="2" t="s">
        <v>0</v>
      </c>
      <c r="D15" s="2" t="s">
        <v>1</v>
      </c>
      <c r="E15" s="2" t="s">
        <v>2</v>
      </c>
      <c r="F15" s="2" t="s">
        <v>3</v>
      </c>
      <c r="G15" s="2" t="s">
        <v>6</v>
      </c>
      <c r="H15" s="2" t="s">
        <v>7</v>
      </c>
      <c r="I15" s="2" t="s">
        <v>8</v>
      </c>
      <c r="J15" s="2"/>
    </row>
    <row r="16" spans="1:10" x14ac:dyDescent="0.3">
      <c r="A16" s="2" t="s">
        <v>6</v>
      </c>
      <c r="B16" s="2">
        <f>B9-$D9/$D$11*B$11</f>
        <v>55.400000000000006</v>
      </c>
      <c r="C16" s="2">
        <f t="shared" ref="C16:I16" si="4">C9-$D9/$D$11*C$11</f>
        <v>42.218181818181826</v>
      </c>
      <c r="D16" s="2">
        <f t="shared" si="4"/>
        <v>0</v>
      </c>
      <c r="E16" s="2">
        <f t="shared" si="4"/>
        <v>0</v>
      </c>
      <c r="F16" s="2">
        <f t="shared" si="4"/>
        <v>27.363636363636363</v>
      </c>
      <c r="G16" s="2">
        <f t="shared" si="4"/>
        <v>1</v>
      </c>
      <c r="H16" s="2">
        <f t="shared" si="4"/>
        <v>2.8272727272727276</v>
      </c>
      <c r="I16" s="2">
        <f t="shared" si="4"/>
        <v>-2.5636363636363639</v>
      </c>
      <c r="J16" s="2"/>
    </row>
    <row r="17" spans="1:10" x14ac:dyDescent="0.3">
      <c r="A17" s="4" t="s">
        <v>7</v>
      </c>
      <c r="B17" s="8">
        <f t="shared" ref="B17:I17" si="5">B10-$D10/$D$11*B$11</f>
        <v>2</v>
      </c>
      <c r="C17" s="2">
        <f t="shared" si="5"/>
        <v>1.2272727272727273</v>
      </c>
      <c r="D17" s="2">
        <f t="shared" si="5"/>
        <v>0</v>
      </c>
      <c r="E17" s="2">
        <f t="shared" si="5"/>
        <v>1</v>
      </c>
      <c r="F17" s="2">
        <f t="shared" si="5"/>
        <v>1.0454545454545454</v>
      </c>
      <c r="G17" s="2">
        <f t="shared" si="5"/>
        <v>0</v>
      </c>
      <c r="H17" s="2">
        <f t="shared" si="5"/>
        <v>9.0909090909090912E-2</v>
      </c>
      <c r="I17" s="2">
        <f t="shared" si="5"/>
        <v>-4.5454545454545463E-2</v>
      </c>
      <c r="J17" s="4"/>
    </row>
    <row r="18" spans="1:10" x14ac:dyDescent="0.3">
      <c r="A18" s="2" t="s">
        <v>8</v>
      </c>
      <c r="B18" s="8">
        <f>B11/$D$11</f>
        <v>2.1999999999999997</v>
      </c>
      <c r="C18" s="2">
        <f t="shared" ref="C18:I18" si="6">C11/$D$11</f>
        <v>-0.20909090909090908</v>
      </c>
      <c r="D18" s="2">
        <f t="shared" si="6"/>
        <v>1</v>
      </c>
      <c r="E18" s="2">
        <f t="shared" si="6"/>
        <v>0</v>
      </c>
      <c r="F18" s="2">
        <f t="shared" si="6"/>
        <v>0.31818181818181823</v>
      </c>
      <c r="G18" s="2">
        <f t="shared" si="6"/>
        <v>0</v>
      </c>
      <c r="H18" s="2">
        <f t="shared" si="6"/>
        <v>-6.3636363636363644E-2</v>
      </c>
      <c r="I18" s="2">
        <f t="shared" si="6"/>
        <v>8.1818181818181818E-2</v>
      </c>
      <c r="J18" s="2"/>
    </row>
    <row r="19" spans="1:10" x14ac:dyDescent="0.3">
      <c r="A19" s="2" t="s">
        <v>9</v>
      </c>
      <c r="B19" s="8">
        <f t="shared" ref="B19:I19" si="7">B12-$D12/$D$11*B$11</f>
        <v>60.599999999999994</v>
      </c>
      <c r="C19" s="2">
        <f t="shared" si="7"/>
        <v>4.9181818181818189</v>
      </c>
      <c r="D19" s="2">
        <f t="shared" si="7"/>
        <v>0</v>
      </c>
      <c r="E19" s="2">
        <f t="shared" si="7"/>
        <v>0</v>
      </c>
      <c r="F19" s="2">
        <f t="shared" si="7"/>
        <v>11.863636363636362</v>
      </c>
      <c r="G19" s="2">
        <f t="shared" si="7"/>
        <v>0</v>
      </c>
      <c r="H19" s="2">
        <f t="shared" si="7"/>
        <v>0.6272727272727272</v>
      </c>
      <c r="I19" s="2">
        <f t="shared" si="7"/>
        <v>0.33636363636363636</v>
      </c>
      <c r="J19" s="2"/>
    </row>
    <row r="21" spans="1:10" x14ac:dyDescent="0.3">
      <c r="A21" s="24" t="s">
        <v>10</v>
      </c>
      <c r="B21" s="24" t="s">
        <v>11</v>
      </c>
      <c r="C21" s="2">
        <f>B17</f>
        <v>2</v>
      </c>
    </row>
    <row r="22" spans="1:10" x14ac:dyDescent="0.3">
      <c r="A22" s="26"/>
      <c r="B22" s="25"/>
      <c r="C22" s="2">
        <f>B18</f>
        <v>2.1999999999999997</v>
      </c>
    </row>
    <row r="23" spans="1:10" x14ac:dyDescent="0.3">
      <c r="A23" s="25"/>
      <c r="B23" s="2" t="s">
        <v>12</v>
      </c>
      <c r="C23" s="2">
        <f>B19</f>
        <v>60.599999999999994</v>
      </c>
    </row>
  </sheetData>
  <mergeCells count="2">
    <mergeCell ref="B21:B22"/>
    <mergeCell ref="A21:A2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E1AC3-CF0C-4639-8579-625DB9568E4B}">
  <dimension ref="A1:I32"/>
  <sheetViews>
    <sheetView workbookViewId="0">
      <selection activeCell="C14" sqref="C14"/>
    </sheetView>
  </sheetViews>
  <sheetFormatPr defaultRowHeight="14.4" x14ac:dyDescent="0.3"/>
  <cols>
    <col min="4" max="4" width="8.88671875" style="9"/>
  </cols>
  <sheetData>
    <row r="1" spans="1:9" ht="15.6" x14ac:dyDescent="0.3">
      <c r="A1" s="11" t="s">
        <v>0</v>
      </c>
      <c r="B1" s="11" t="s">
        <v>1</v>
      </c>
      <c r="C1" s="11" t="s">
        <v>2</v>
      </c>
      <c r="D1" s="11" t="s">
        <v>3</v>
      </c>
      <c r="E1" s="11" t="s">
        <v>13</v>
      </c>
      <c r="F1" s="11" t="s">
        <v>14</v>
      </c>
    </row>
    <row r="2" spans="1:9" x14ac:dyDescent="0.3">
      <c r="A2" s="10">
        <v>4</v>
      </c>
      <c r="B2" s="10">
        <v>-2</v>
      </c>
      <c r="C2" s="10">
        <v>1</v>
      </c>
      <c r="D2" s="10">
        <v>-1</v>
      </c>
      <c r="E2" s="12" t="s">
        <v>15</v>
      </c>
      <c r="F2" s="10" t="s">
        <v>17</v>
      </c>
    </row>
    <row r="3" spans="1:9" x14ac:dyDescent="0.3">
      <c r="A3" s="10">
        <v>1</v>
      </c>
      <c r="B3" s="10">
        <v>-1</v>
      </c>
      <c r="C3" s="10">
        <v>4</v>
      </c>
      <c r="D3" s="10">
        <v>-2</v>
      </c>
      <c r="E3" s="10" t="s">
        <v>16</v>
      </c>
      <c r="F3" s="10">
        <v>2</v>
      </c>
    </row>
    <row r="4" spans="1:9" x14ac:dyDescent="0.3">
      <c r="A4" s="10">
        <v>3</v>
      </c>
      <c r="B4" s="10">
        <v>2</v>
      </c>
      <c r="C4" s="10">
        <v>-1</v>
      </c>
      <c r="D4" s="10">
        <v>4</v>
      </c>
      <c r="E4" s="10" t="s">
        <v>16</v>
      </c>
      <c r="F4" s="10">
        <v>3</v>
      </c>
    </row>
    <row r="6" spans="1:9" ht="15.6" x14ac:dyDescent="0.3">
      <c r="A6" s="15"/>
      <c r="B6" s="15" t="s">
        <v>4</v>
      </c>
      <c r="C6" s="16" t="s">
        <v>0</v>
      </c>
      <c r="D6" s="16" t="s">
        <v>1</v>
      </c>
      <c r="E6" s="16" t="s">
        <v>2</v>
      </c>
      <c r="F6" s="16" t="s">
        <v>3</v>
      </c>
      <c r="G6" s="16" t="s">
        <v>18</v>
      </c>
      <c r="H6" s="16" t="s">
        <v>19</v>
      </c>
      <c r="I6" s="16" t="s">
        <v>17</v>
      </c>
    </row>
    <row r="7" spans="1:9" ht="15.6" x14ac:dyDescent="0.3">
      <c r="A7" s="15" t="s">
        <v>20</v>
      </c>
      <c r="B7" s="13">
        <v>-5</v>
      </c>
      <c r="C7" s="14">
        <v>-4</v>
      </c>
      <c r="D7" s="17">
        <v>-1</v>
      </c>
      <c r="E7" s="17">
        <v>-3</v>
      </c>
      <c r="F7" s="17">
        <v>-2</v>
      </c>
      <c r="G7" s="17">
        <v>0</v>
      </c>
      <c r="H7" s="17">
        <v>0</v>
      </c>
      <c r="I7" s="17"/>
    </row>
    <row r="8" spans="1:9" ht="15.6" x14ac:dyDescent="0.3">
      <c r="A8" s="15" t="s">
        <v>18</v>
      </c>
      <c r="B8" s="13">
        <v>2</v>
      </c>
      <c r="C8" s="14">
        <v>1</v>
      </c>
      <c r="D8" s="17">
        <v>-1</v>
      </c>
      <c r="E8" s="17">
        <v>4</v>
      </c>
      <c r="F8" s="17">
        <v>-2</v>
      </c>
      <c r="G8" s="17">
        <v>1</v>
      </c>
      <c r="H8" s="17">
        <v>0</v>
      </c>
      <c r="I8" s="18">
        <f>B8/C8</f>
        <v>2</v>
      </c>
    </row>
    <row r="9" spans="1:9" ht="15.6" x14ac:dyDescent="0.3">
      <c r="A9" s="15" t="s">
        <v>19</v>
      </c>
      <c r="B9" s="14">
        <v>3</v>
      </c>
      <c r="C9" s="3">
        <v>3</v>
      </c>
      <c r="D9" s="14">
        <v>2</v>
      </c>
      <c r="E9" s="14">
        <v>-1</v>
      </c>
      <c r="F9" s="14">
        <v>4</v>
      </c>
      <c r="G9" s="14">
        <v>0</v>
      </c>
      <c r="H9" s="14">
        <v>1</v>
      </c>
      <c r="I9" s="14">
        <f>B9/C9</f>
        <v>1</v>
      </c>
    </row>
    <row r="12" spans="1:9" ht="15.6" x14ac:dyDescent="0.3">
      <c r="A12" s="15"/>
      <c r="B12" s="15" t="s">
        <v>4</v>
      </c>
      <c r="C12" s="16" t="s">
        <v>0</v>
      </c>
      <c r="D12" s="16" t="s">
        <v>1</v>
      </c>
      <c r="E12" s="16" t="s">
        <v>2</v>
      </c>
      <c r="F12" s="16" t="s">
        <v>3</v>
      </c>
      <c r="G12" s="16" t="s">
        <v>18</v>
      </c>
      <c r="H12" s="16" t="s">
        <v>19</v>
      </c>
      <c r="I12" s="16" t="s">
        <v>17</v>
      </c>
    </row>
    <row r="13" spans="1:9" ht="15.6" x14ac:dyDescent="0.3">
      <c r="A13" s="15" t="s">
        <v>20</v>
      </c>
      <c r="B13" s="18">
        <f>B7-$C7/$C$9*B$9</f>
        <v>-1</v>
      </c>
      <c r="C13" s="18">
        <f>C7-$C7/$C$9*C$9</f>
        <v>0</v>
      </c>
      <c r="D13" s="18">
        <f t="shared" ref="D13:H13" si="0">D7-$C7/$C$9*D$9</f>
        <v>1.6666666666666665</v>
      </c>
      <c r="E13" s="14">
        <f t="shared" si="0"/>
        <v>-4.333333333333333</v>
      </c>
      <c r="F13" s="18">
        <f t="shared" si="0"/>
        <v>3.333333333333333</v>
      </c>
      <c r="G13" s="18">
        <f t="shared" si="0"/>
        <v>0</v>
      </c>
      <c r="H13" s="18">
        <f t="shared" si="0"/>
        <v>1.3333333333333333</v>
      </c>
      <c r="I13" s="18"/>
    </row>
    <row r="14" spans="1:9" ht="15.6" x14ac:dyDescent="0.3">
      <c r="A14" s="15" t="s">
        <v>18</v>
      </c>
      <c r="B14" s="14">
        <f t="shared" ref="B14:H14" si="1">B8-$C8/$C$9*B$9</f>
        <v>1</v>
      </c>
      <c r="C14" s="14">
        <f t="shared" si="1"/>
        <v>0</v>
      </c>
      <c r="D14" s="14">
        <f t="shared" si="1"/>
        <v>-1.6666666666666665</v>
      </c>
      <c r="E14" s="3">
        <f t="shared" si="1"/>
        <v>4.333333333333333</v>
      </c>
      <c r="F14" s="14">
        <f t="shared" si="1"/>
        <v>-3.333333333333333</v>
      </c>
      <c r="G14" s="14">
        <f t="shared" si="1"/>
        <v>1</v>
      </c>
      <c r="H14" s="14">
        <f t="shared" si="1"/>
        <v>-0.33333333333333331</v>
      </c>
      <c r="I14" s="14">
        <f>B14/E14</f>
        <v>0.23076923076923078</v>
      </c>
    </row>
    <row r="15" spans="1:9" ht="15.6" x14ac:dyDescent="0.3">
      <c r="A15" s="15" t="s">
        <v>0</v>
      </c>
      <c r="B15" s="18">
        <f>B9/$C$9</f>
        <v>1</v>
      </c>
      <c r="C15" s="18">
        <f t="shared" ref="C15:H15" si="2">C9/$C$9</f>
        <v>1</v>
      </c>
      <c r="D15" s="18">
        <f t="shared" si="2"/>
        <v>0.66666666666666663</v>
      </c>
      <c r="E15" s="14">
        <f t="shared" si="2"/>
        <v>-0.33333333333333331</v>
      </c>
      <c r="F15" s="18">
        <f t="shared" si="2"/>
        <v>1.3333333333333333</v>
      </c>
      <c r="G15" s="18">
        <f t="shared" si="2"/>
        <v>0</v>
      </c>
      <c r="H15" s="18">
        <f t="shared" si="2"/>
        <v>0.33333333333333331</v>
      </c>
      <c r="I15" s="18">
        <f>B15/E15</f>
        <v>-3</v>
      </c>
    </row>
    <row r="18" spans="1:9" ht="15.6" x14ac:dyDescent="0.3">
      <c r="A18" s="15"/>
      <c r="B18" s="15" t="s">
        <v>4</v>
      </c>
      <c r="C18" s="16" t="s">
        <v>0</v>
      </c>
      <c r="D18" s="16" t="s">
        <v>1</v>
      </c>
      <c r="E18" s="16" t="s">
        <v>2</v>
      </c>
      <c r="F18" s="16" t="s">
        <v>3</v>
      </c>
      <c r="G18" s="16" t="s">
        <v>18</v>
      </c>
      <c r="H18" s="16" t="s">
        <v>19</v>
      </c>
      <c r="I18" s="16" t="s">
        <v>17</v>
      </c>
    </row>
    <row r="19" spans="1:9" ht="15.6" x14ac:dyDescent="0.3">
      <c r="A19" s="15" t="s">
        <v>20</v>
      </c>
      <c r="B19" s="18">
        <f>B13-$E13/$E$14*B$14</f>
        <v>0</v>
      </c>
      <c r="C19" s="18">
        <f t="shared" ref="C19:H21" si="3">C13-$E13/$E$14*C$14</f>
        <v>0</v>
      </c>
      <c r="D19" s="18">
        <f t="shared" si="3"/>
        <v>0</v>
      </c>
      <c r="E19" s="18">
        <f t="shared" si="3"/>
        <v>0</v>
      </c>
      <c r="F19" s="18">
        <f t="shared" si="3"/>
        <v>0</v>
      </c>
      <c r="G19" s="18">
        <f t="shared" si="3"/>
        <v>1</v>
      </c>
      <c r="H19" s="18">
        <f t="shared" si="3"/>
        <v>1</v>
      </c>
      <c r="I19" s="18"/>
    </row>
    <row r="20" spans="1:9" ht="15.6" x14ac:dyDescent="0.3">
      <c r="A20" s="15" t="s">
        <v>2</v>
      </c>
      <c r="B20" s="18">
        <f>B14/$E$14</f>
        <v>0.23076923076923078</v>
      </c>
      <c r="C20" s="18">
        <f t="shared" ref="C20:H20" si="4">C14/$E$14</f>
        <v>0</v>
      </c>
      <c r="D20" s="18">
        <f t="shared" si="4"/>
        <v>-0.38461538461538458</v>
      </c>
      <c r="E20" s="18">
        <f t="shared" si="4"/>
        <v>1</v>
      </c>
      <c r="F20" s="18">
        <f t="shared" si="4"/>
        <v>-0.76923076923076916</v>
      </c>
      <c r="G20" s="18">
        <f t="shared" si="4"/>
        <v>0.23076923076923078</v>
      </c>
      <c r="H20" s="18">
        <f t="shared" si="4"/>
        <v>-7.6923076923076927E-2</v>
      </c>
      <c r="I20" s="18"/>
    </row>
    <row r="21" spans="1:9" ht="15.6" x14ac:dyDescent="0.3">
      <c r="A21" s="15" t="s">
        <v>0</v>
      </c>
      <c r="B21" s="18">
        <f>B15-$E15/$E$14*B$14</f>
        <v>1.0769230769230769</v>
      </c>
      <c r="C21" s="18">
        <f t="shared" si="3"/>
        <v>1</v>
      </c>
      <c r="D21" s="18">
        <f t="shared" si="3"/>
        <v>0.53846153846153844</v>
      </c>
      <c r="E21" s="18">
        <f t="shared" si="3"/>
        <v>0</v>
      </c>
      <c r="F21" s="18">
        <f t="shared" si="3"/>
        <v>1.0769230769230769</v>
      </c>
      <c r="G21" s="18">
        <f t="shared" si="3"/>
        <v>7.6923076923076927E-2</v>
      </c>
      <c r="H21" s="18">
        <f t="shared" si="3"/>
        <v>0.30769230769230765</v>
      </c>
      <c r="I21" s="18"/>
    </row>
    <row r="24" spans="1:9" ht="15.6" x14ac:dyDescent="0.3">
      <c r="A24" s="19"/>
      <c r="B24" s="19"/>
      <c r="C24" s="20"/>
      <c r="D24" s="20"/>
      <c r="E24" s="20"/>
      <c r="F24" s="20"/>
      <c r="G24" s="20"/>
      <c r="H24" s="20"/>
      <c r="I24" s="20"/>
    </row>
    <row r="25" spans="1:9" ht="15.6" x14ac:dyDescent="0.3">
      <c r="A25" s="19"/>
      <c r="B25" s="21"/>
      <c r="C25" s="21"/>
      <c r="D25" s="21"/>
      <c r="E25" s="21"/>
      <c r="F25" s="21"/>
      <c r="G25" s="21"/>
      <c r="H25" s="21"/>
      <c r="I25" s="21"/>
    </row>
    <row r="26" spans="1:9" ht="15.6" x14ac:dyDescent="0.3">
      <c r="A26" s="15"/>
      <c r="B26" s="15" t="s">
        <v>4</v>
      </c>
      <c r="C26" s="15" t="s">
        <v>0</v>
      </c>
      <c r="D26" s="15" t="s">
        <v>1</v>
      </c>
      <c r="E26" s="15" t="s">
        <v>2</v>
      </c>
      <c r="F26" s="16" t="s">
        <v>3</v>
      </c>
      <c r="G26" s="15" t="s">
        <v>17</v>
      </c>
      <c r="H26" s="21"/>
      <c r="I26" s="21"/>
    </row>
    <row r="27" spans="1:9" ht="15.6" x14ac:dyDescent="0.3">
      <c r="A27" s="15" t="s">
        <v>20</v>
      </c>
      <c r="B27" s="22">
        <f>4*B21+G20</f>
        <v>4.5384615384615383</v>
      </c>
      <c r="C27" s="18">
        <v>0</v>
      </c>
      <c r="D27" s="18">
        <f>-D21*4+H21-2</f>
        <v>-3.8461538461538458</v>
      </c>
      <c r="E27" s="18">
        <v>0</v>
      </c>
      <c r="F27" s="18">
        <f>-B21*4+F21-1</f>
        <v>-4.2307692307692308</v>
      </c>
      <c r="G27" s="18"/>
      <c r="H27" s="21"/>
      <c r="I27" s="21"/>
    </row>
    <row r="28" spans="1:9" ht="15.6" x14ac:dyDescent="0.3">
      <c r="A28" s="15" t="s">
        <v>2</v>
      </c>
      <c r="B28" s="22">
        <v>0.23076923076923078</v>
      </c>
      <c r="C28" s="18">
        <v>0</v>
      </c>
      <c r="D28" s="18">
        <v>-0.38461538461538458</v>
      </c>
      <c r="E28" s="18">
        <v>1</v>
      </c>
      <c r="F28" s="18">
        <v>-0.76923076923076916</v>
      </c>
      <c r="G28" s="18">
        <f>B28/F28</f>
        <v>-0.30000000000000004</v>
      </c>
    </row>
    <row r="29" spans="1:9" ht="15.6" x14ac:dyDescent="0.3">
      <c r="A29" s="15" t="s">
        <v>0</v>
      </c>
      <c r="B29" s="22">
        <v>1.0769230769230769</v>
      </c>
      <c r="C29" s="18">
        <v>1</v>
      </c>
      <c r="D29" s="18">
        <v>0.53846153846153844</v>
      </c>
      <c r="E29" s="18">
        <v>0</v>
      </c>
      <c r="F29" s="18">
        <v>1.0769230769230769</v>
      </c>
      <c r="G29" s="18">
        <f>B29/F29</f>
        <v>1</v>
      </c>
    </row>
    <row r="32" spans="1:9" ht="15.6" x14ac:dyDescent="0.3">
      <c r="A32" s="20" t="s">
        <v>21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A8193-1146-491F-9944-32CAA2662B8B}">
  <dimension ref="A1:I20"/>
  <sheetViews>
    <sheetView zoomScale="97" workbookViewId="0">
      <selection activeCell="C8" sqref="C8"/>
    </sheetView>
  </sheetViews>
  <sheetFormatPr defaultRowHeight="14.4" x14ac:dyDescent="0.3"/>
  <cols>
    <col min="1" max="1" width="8.88671875" style="9"/>
    <col min="2" max="2" width="10.88671875" bestFit="1" customWidth="1"/>
    <col min="3" max="3" width="13.109375" customWidth="1"/>
    <col min="4" max="4" width="13.33203125" bestFit="1" customWidth="1"/>
    <col min="5" max="6" width="11" bestFit="1" customWidth="1"/>
    <col min="7" max="7" width="10" bestFit="1" customWidth="1"/>
    <col min="8" max="8" width="11.33203125" customWidth="1"/>
  </cols>
  <sheetData>
    <row r="1" spans="1:9" s="9" customFormat="1" x14ac:dyDescent="0.3">
      <c r="C1" s="9" t="s">
        <v>0</v>
      </c>
      <c r="D1" s="9" t="s">
        <v>1</v>
      </c>
      <c r="E1" s="9" t="s">
        <v>2</v>
      </c>
      <c r="F1" s="9" t="s">
        <v>3</v>
      </c>
      <c r="G1" s="9" t="s">
        <v>18</v>
      </c>
      <c r="H1" s="9" t="s">
        <v>19</v>
      </c>
    </row>
    <row r="2" spans="1:9" x14ac:dyDescent="0.3">
      <c r="A2" s="9" t="s">
        <v>20</v>
      </c>
      <c r="B2" s="23">
        <v>-5</v>
      </c>
      <c r="C2" s="23">
        <v>-4</v>
      </c>
      <c r="D2" s="23">
        <v>-1</v>
      </c>
      <c r="E2" s="23">
        <v>-3</v>
      </c>
      <c r="F2" s="23">
        <v>-2</v>
      </c>
      <c r="G2" s="23">
        <v>0</v>
      </c>
      <c r="H2" s="23">
        <v>0</v>
      </c>
    </row>
    <row r="3" spans="1:9" x14ac:dyDescent="0.3">
      <c r="A3" s="9" t="s">
        <v>18</v>
      </c>
      <c r="B3" s="23">
        <v>2</v>
      </c>
      <c r="C3" s="23">
        <v>1</v>
      </c>
      <c r="D3" s="23">
        <v>-1</v>
      </c>
      <c r="E3" s="23">
        <v>4</v>
      </c>
      <c r="F3" s="23">
        <v>-2</v>
      </c>
      <c r="G3" s="23">
        <v>1</v>
      </c>
      <c r="H3" s="23">
        <v>0</v>
      </c>
    </row>
    <row r="4" spans="1:9" x14ac:dyDescent="0.3">
      <c r="A4" s="9" t="s">
        <v>19</v>
      </c>
      <c r="B4" s="23">
        <v>3</v>
      </c>
      <c r="C4" s="23">
        <v>3</v>
      </c>
      <c r="D4" s="23">
        <v>2</v>
      </c>
      <c r="E4" s="23">
        <v>-1</v>
      </c>
      <c r="F4" s="23">
        <v>4</v>
      </c>
      <c r="G4" s="23">
        <v>0</v>
      </c>
      <c r="H4" s="23">
        <v>1</v>
      </c>
    </row>
    <row r="6" spans="1:9" x14ac:dyDescent="0.3">
      <c r="B6" s="9"/>
      <c r="C6" s="9" t="s">
        <v>0</v>
      </c>
      <c r="D6" s="9" t="s">
        <v>1</v>
      </c>
      <c r="E6" s="9" t="s">
        <v>2</v>
      </c>
      <c r="F6" s="9" t="s">
        <v>3</v>
      </c>
      <c r="G6" s="9" t="s">
        <v>18</v>
      </c>
      <c r="H6" s="9" t="s">
        <v>19</v>
      </c>
    </row>
    <row r="7" spans="1:9" x14ac:dyDescent="0.3">
      <c r="A7" s="9" t="s">
        <v>20</v>
      </c>
      <c r="B7" s="23">
        <f>B2-$C2/$C$3*B$3</f>
        <v>3</v>
      </c>
      <c r="C7" s="23">
        <f>C2-$C2/$C$3*C$3</f>
        <v>0</v>
      </c>
      <c r="D7" s="23">
        <f t="shared" ref="C7:H7" si="0">D2-$C2/$C$3*D$3</f>
        <v>-5</v>
      </c>
      <c r="E7" s="23">
        <f t="shared" si="0"/>
        <v>13</v>
      </c>
      <c r="F7" s="23">
        <f t="shared" si="0"/>
        <v>-10</v>
      </c>
      <c r="G7" s="23">
        <f t="shared" si="0"/>
        <v>4</v>
      </c>
      <c r="H7" s="23">
        <f t="shared" si="0"/>
        <v>0</v>
      </c>
      <c r="I7" s="23"/>
    </row>
    <row r="8" spans="1:9" x14ac:dyDescent="0.3">
      <c r="A8" s="9" t="s">
        <v>0</v>
      </c>
      <c r="B8" s="23">
        <v>2</v>
      </c>
      <c r="C8" s="23">
        <v>1</v>
      </c>
      <c r="D8" s="23">
        <v>-1</v>
      </c>
      <c r="E8" s="23">
        <v>4</v>
      </c>
      <c r="F8" s="23">
        <v>-2</v>
      </c>
      <c r="G8" s="23">
        <v>1</v>
      </c>
      <c r="H8" s="23">
        <v>0</v>
      </c>
    </row>
    <row r="9" spans="1:9" x14ac:dyDescent="0.3">
      <c r="A9" s="9" t="s">
        <v>19</v>
      </c>
      <c r="B9" s="23">
        <f t="shared" ref="B9:H9" si="1">B4-$C4/$C$3*B$3</f>
        <v>-3</v>
      </c>
      <c r="C9" s="23">
        <f t="shared" si="1"/>
        <v>0</v>
      </c>
      <c r="D9" s="23">
        <f t="shared" si="1"/>
        <v>5</v>
      </c>
      <c r="E9" s="23">
        <f t="shared" si="1"/>
        <v>-13</v>
      </c>
      <c r="F9" s="23">
        <f t="shared" si="1"/>
        <v>10</v>
      </c>
      <c r="G9" s="23">
        <f t="shared" si="1"/>
        <v>-3</v>
      </c>
      <c r="H9" s="23">
        <f t="shared" si="1"/>
        <v>1</v>
      </c>
    </row>
    <row r="10" spans="1:9" x14ac:dyDescent="0.3">
      <c r="B10" s="23"/>
      <c r="C10" s="23"/>
      <c r="D10" s="23"/>
      <c r="E10" s="23"/>
      <c r="F10" s="23"/>
      <c r="G10" s="23"/>
      <c r="H10" s="23"/>
    </row>
    <row r="11" spans="1:9" x14ac:dyDescent="0.3">
      <c r="B11" s="9"/>
      <c r="C11" s="9" t="s">
        <v>0</v>
      </c>
      <c r="D11" s="9" t="s">
        <v>1</v>
      </c>
      <c r="E11" s="9" t="s">
        <v>2</v>
      </c>
      <c r="F11" s="9" t="s">
        <v>3</v>
      </c>
      <c r="G11" s="9" t="s">
        <v>18</v>
      </c>
      <c r="H11" s="9" t="s">
        <v>19</v>
      </c>
    </row>
    <row r="12" spans="1:9" x14ac:dyDescent="0.3">
      <c r="A12" s="9" t="s">
        <v>20</v>
      </c>
      <c r="B12" s="23">
        <f>B7-$F7/$F$9*B$9</f>
        <v>0</v>
      </c>
      <c r="C12" s="23">
        <f t="shared" ref="C12:H12" si="2">C7-$F7/$F$9*C$9</f>
        <v>0</v>
      </c>
      <c r="D12" s="23">
        <f t="shared" si="2"/>
        <v>0</v>
      </c>
      <c r="E12" s="23">
        <f t="shared" si="2"/>
        <v>0</v>
      </c>
      <c r="F12" s="23">
        <f t="shared" si="2"/>
        <v>0</v>
      </c>
      <c r="G12" s="23">
        <f t="shared" si="2"/>
        <v>1</v>
      </c>
      <c r="H12" s="23">
        <f t="shared" si="2"/>
        <v>1</v>
      </c>
    </row>
    <row r="13" spans="1:9" x14ac:dyDescent="0.3">
      <c r="A13" s="9" t="s">
        <v>0</v>
      </c>
      <c r="B13" s="23">
        <f t="shared" ref="B13:H13" si="3">B8-$F8/$F$9*B$9</f>
        <v>1.4</v>
      </c>
      <c r="C13" s="23">
        <f t="shared" si="3"/>
        <v>1</v>
      </c>
      <c r="D13" s="23">
        <f t="shared" si="3"/>
        <v>0</v>
      </c>
      <c r="E13" s="23">
        <f t="shared" si="3"/>
        <v>1.4</v>
      </c>
      <c r="F13" s="23">
        <f t="shared" si="3"/>
        <v>0</v>
      </c>
      <c r="G13" s="23">
        <f t="shared" si="3"/>
        <v>0.39999999999999991</v>
      </c>
      <c r="H13" s="23">
        <f t="shared" si="3"/>
        <v>0.2</v>
      </c>
    </row>
    <row r="14" spans="1:9" x14ac:dyDescent="0.3">
      <c r="A14" s="9" t="s">
        <v>19</v>
      </c>
      <c r="B14" s="23">
        <f t="shared" ref="B14:H14" si="4">B9-$F9/$F$9*B$9</f>
        <v>0</v>
      </c>
      <c r="C14" s="23">
        <f t="shared" si="4"/>
        <v>0</v>
      </c>
      <c r="D14" s="23">
        <f t="shared" si="4"/>
        <v>0</v>
      </c>
      <c r="E14" s="23">
        <f t="shared" si="4"/>
        <v>0</v>
      </c>
      <c r="F14" s="23">
        <f t="shared" si="4"/>
        <v>0</v>
      </c>
      <c r="G14" s="23">
        <f t="shared" si="4"/>
        <v>0</v>
      </c>
      <c r="H14" s="23">
        <f t="shared" si="4"/>
        <v>0</v>
      </c>
    </row>
    <row r="15" spans="1:9" x14ac:dyDescent="0.3">
      <c r="B15" s="23"/>
      <c r="C15" s="23"/>
      <c r="D15" s="23"/>
      <c r="E15" s="23"/>
      <c r="F15" s="23"/>
      <c r="G15" s="23"/>
      <c r="H15" s="23"/>
    </row>
    <row r="16" spans="1:9" x14ac:dyDescent="0.3">
      <c r="B16" s="23"/>
      <c r="C16" s="23" t="s">
        <v>0</v>
      </c>
      <c r="D16" s="23" t="s">
        <v>1</v>
      </c>
      <c r="E16" s="23" t="s">
        <v>2</v>
      </c>
      <c r="F16" s="23" t="s">
        <v>3</v>
      </c>
      <c r="G16" s="23"/>
      <c r="H16" s="23"/>
    </row>
    <row r="17" spans="1:8" x14ac:dyDescent="0.3">
      <c r="A17" s="9" t="s">
        <v>22</v>
      </c>
      <c r="B17" s="23">
        <v>1.9</v>
      </c>
      <c r="C17">
        <v>0</v>
      </c>
      <c r="D17" s="23">
        <v>-1.5</v>
      </c>
      <c r="E17" s="23">
        <v>-5.9</v>
      </c>
      <c r="F17" s="23">
        <v>0</v>
      </c>
    </row>
    <row r="18" spans="1:8" x14ac:dyDescent="0.3">
      <c r="A18" s="9" t="s">
        <v>0</v>
      </c>
      <c r="B18" s="23">
        <v>0.4</v>
      </c>
      <c r="C18" s="23">
        <v>1</v>
      </c>
      <c r="D18" s="23">
        <v>0</v>
      </c>
      <c r="E18" s="23">
        <v>1.4</v>
      </c>
      <c r="F18" s="23">
        <v>0</v>
      </c>
      <c r="G18" s="23"/>
      <c r="H18" s="23"/>
    </row>
    <row r="19" spans="1:8" x14ac:dyDescent="0.3">
      <c r="A19" s="9" t="s">
        <v>3</v>
      </c>
      <c r="B19" s="23">
        <v>-0.3</v>
      </c>
      <c r="C19" s="23">
        <v>0</v>
      </c>
      <c r="D19" s="23">
        <v>0.5</v>
      </c>
      <c r="E19" s="23">
        <v>-1.3</v>
      </c>
      <c r="F19" s="23">
        <v>1</v>
      </c>
      <c r="G19" s="23"/>
      <c r="H19" s="23"/>
    </row>
    <row r="20" spans="1:8" x14ac:dyDescent="0.3">
      <c r="B20" s="23"/>
      <c r="C20" s="23"/>
      <c r="D20" s="23"/>
      <c r="E20" s="23"/>
      <c r="F20" s="23"/>
      <c r="G20" s="23"/>
      <c r="H20" s="23"/>
    </row>
  </sheetData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E5822-30CB-439F-9612-6463BCEC3890}">
  <dimension ref="A1:I20"/>
  <sheetViews>
    <sheetView tabSelected="1" topLeftCell="A16" zoomScale="97" workbookViewId="0">
      <selection activeCell="B18" sqref="B18"/>
    </sheetView>
  </sheetViews>
  <sheetFormatPr defaultRowHeight="14.4" x14ac:dyDescent="0.3"/>
  <cols>
    <col min="1" max="1" width="8.88671875" style="9"/>
    <col min="2" max="2" width="10.88671875" style="9" bestFit="1" customWidth="1"/>
    <col min="3" max="3" width="13.109375" style="9" customWidth="1"/>
    <col min="4" max="4" width="13.33203125" style="9" bestFit="1" customWidth="1"/>
    <col min="5" max="6" width="11" style="9" bestFit="1" customWidth="1"/>
    <col min="7" max="7" width="10" style="9" bestFit="1" customWidth="1"/>
    <col min="8" max="8" width="11.33203125" style="9" customWidth="1"/>
    <col min="9" max="16384" width="8.88671875" style="9"/>
  </cols>
  <sheetData>
    <row r="1" spans="1:9" x14ac:dyDescent="0.3">
      <c r="C1" s="9" t="s">
        <v>0</v>
      </c>
      <c r="D1" s="9" t="s">
        <v>1</v>
      </c>
      <c r="E1" s="9" t="s">
        <v>2</v>
      </c>
      <c r="F1" s="9" t="s">
        <v>3</v>
      </c>
      <c r="G1" s="9" t="s">
        <v>18</v>
      </c>
      <c r="H1" s="9" t="s">
        <v>19</v>
      </c>
    </row>
    <row r="2" spans="1:9" x14ac:dyDescent="0.3">
      <c r="A2" s="9" t="s">
        <v>20</v>
      </c>
      <c r="B2" s="23">
        <v>-5</v>
      </c>
      <c r="C2" s="23">
        <v>-4</v>
      </c>
      <c r="D2" s="23">
        <v>-1</v>
      </c>
      <c r="E2" s="23">
        <v>-3</v>
      </c>
      <c r="F2" s="23">
        <v>-2</v>
      </c>
      <c r="G2" s="23">
        <v>0</v>
      </c>
      <c r="H2" s="23">
        <v>0</v>
      </c>
    </row>
    <row r="3" spans="1:9" x14ac:dyDescent="0.3">
      <c r="A3" s="9" t="s">
        <v>18</v>
      </c>
      <c r="B3" s="23">
        <v>2</v>
      </c>
      <c r="C3" s="23">
        <v>1</v>
      </c>
      <c r="D3" s="23">
        <v>-1</v>
      </c>
      <c r="E3" s="23">
        <v>4</v>
      </c>
      <c r="F3" s="23">
        <v>-2</v>
      </c>
      <c r="G3" s="23">
        <v>1</v>
      </c>
      <c r="H3" s="23">
        <v>0</v>
      </c>
    </row>
    <row r="4" spans="1:9" x14ac:dyDescent="0.3">
      <c r="A4" s="9" t="s">
        <v>19</v>
      </c>
      <c r="B4" s="23">
        <v>3</v>
      </c>
      <c r="C4" s="23">
        <v>3</v>
      </c>
      <c r="D4" s="23">
        <v>2</v>
      </c>
      <c r="E4" s="23">
        <v>-1</v>
      </c>
      <c r="F4" s="23">
        <v>4</v>
      </c>
      <c r="G4" s="23">
        <v>0</v>
      </c>
      <c r="H4" s="23">
        <v>1</v>
      </c>
    </row>
    <row r="6" spans="1:9" x14ac:dyDescent="0.3">
      <c r="C6" s="9" t="s">
        <v>0</v>
      </c>
      <c r="D6" s="9" t="s">
        <v>1</v>
      </c>
      <c r="E6" s="9" t="s">
        <v>2</v>
      </c>
      <c r="F6" s="9" t="s">
        <v>3</v>
      </c>
      <c r="G6" s="9" t="s">
        <v>18</v>
      </c>
      <c r="H6" s="9" t="s">
        <v>19</v>
      </c>
    </row>
    <row r="7" spans="1:9" x14ac:dyDescent="0.3">
      <c r="A7" s="9" t="s">
        <v>20</v>
      </c>
      <c r="B7" s="23">
        <f>B2-$C2/$C$4*B$4</f>
        <v>-1</v>
      </c>
      <c r="C7" s="23">
        <f t="shared" ref="C7:H7" si="0">C2-$C2/$C$4*C$4</f>
        <v>0</v>
      </c>
      <c r="D7" s="23">
        <f t="shared" si="0"/>
        <v>1.6666666666666665</v>
      </c>
      <c r="E7" s="23">
        <f t="shared" si="0"/>
        <v>-4.333333333333333</v>
      </c>
      <c r="F7" s="23">
        <f t="shared" si="0"/>
        <v>3.333333333333333</v>
      </c>
      <c r="G7" s="23">
        <f t="shared" si="0"/>
        <v>0</v>
      </c>
      <c r="H7" s="23">
        <f t="shared" si="0"/>
        <v>1.3333333333333333</v>
      </c>
      <c r="I7" s="23"/>
    </row>
    <row r="8" spans="1:9" x14ac:dyDescent="0.3">
      <c r="A8" s="9" t="s">
        <v>18</v>
      </c>
      <c r="B8" s="23">
        <f t="shared" ref="B8:H8" si="1">B3-$C3/$C$4*B$4</f>
        <v>1</v>
      </c>
      <c r="C8" s="23">
        <f t="shared" si="1"/>
        <v>0</v>
      </c>
      <c r="D8" s="23">
        <f t="shared" si="1"/>
        <v>-1.6666666666666665</v>
      </c>
      <c r="E8" s="27">
        <f t="shared" si="1"/>
        <v>4.333333333333333</v>
      </c>
      <c r="F8" s="23">
        <f t="shared" si="1"/>
        <v>-3.333333333333333</v>
      </c>
      <c r="G8" s="23">
        <f t="shared" si="1"/>
        <v>1</v>
      </c>
      <c r="H8" s="23">
        <f t="shared" si="1"/>
        <v>-0.33333333333333331</v>
      </c>
    </row>
    <row r="9" spans="1:9" x14ac:dyDescent="0.3">
      <c r="A9" s="9" t="s">
        <v>0</v>
      </c>
      <c r="B9" s="23">
        <f>B4/$C$4</f>
        <v>1</v>
      </c>
      <c r="C9" s="23">
        <f t="shared" ref="C9:H9" si="2">C4/$C$4</f>
        <v>1</v>
      </c>
      <c r="D9" s="23">
        <f t="shared" si="2"/>
        <v>0.66666666666666663</v>
      </c>
      <c r="E9" s="23">
        <f t="shared" si="2"/>
        <v>-0.33333333333333331</v>
      </c>
      <c r="F9" s="23">
        <f t="shared" si="2"/>
        <v>1.3333333333333333</v>
      </c>
      <c r="G9" s="23">
        <f t="shared" si="2"/>
        <v>0</v>
      </c>
      <c r="H9" s="23">
        <f t="shared" si="2"/>
        <v>0.33333333333333331</v>
      </c>
    </row>
    <row r="10" spans="1:9" x14ac:dyDescent="0.3">
      <c r="B10" s="23"/>
      <c r="C10" s="23"/>
      <c r="D10" s="23"/>
      <c r="E10" s="23"/>
      <c r="F10" s="23"/>
      <c r="G10" s="23"/>
      <c r="H10" s="23"/>
    </row>
    <row r="11" spans="1:9" x14ac:dyDescent="0.3">
      <c r="C11" s="9" t="s">
        <v>0</v>
      </c>
      <c r="D11" s="9" t="s">
        <v>1</v>
      </c>
      <c r="E11" s="9" t="s">
        <v>2</v>
      </c>
      <c r="F11" s="9" t="s">
        <v>3</v>
      </c>
      <c r="G11" s="9" t="s">
        <v>18</v>
      </c>
      <c r="H11" s="9" t="s">
        <v>19</v>
      </c>
    </row>
    <row r="12" spans="1:9" x14ac:dyDescent="0.3">
      <c r="A12" s="9" t="s">
        <v>20</v>
      </c>
      <c r="B12" s="23">
        <f>B7-$E7/$E$8*B$8</f>
        <v>0</v>
      </c>
      <c r="C12" s="23">
        <f t="shared" ref="C12:H12" si="3">C7-$E7/$E$8*C$8</f>
        <v>0</v>
      </c>
      <c r="D12" s="23">
        <f t="shared" si="3"/>
        <v>0</v>
      </c>
      <c r="E12" s="23">
        <f t="shared" si="3"/>
        <v>0</v>
      </c>
      <c r="F12" s="23">
        <f t="shared" si="3"/>
        <v>0</v>
      </c>
      <c r="G12" s="23">
        <f t="shared" si="3"/>
        <v>1</v>
      </c>
      <c r="H12" s="23">
        <f t="shared" si="3"/>
        <v>1</v>
      </c>
    </row>
    <row r="13" spans="1:9" x14ac:dyDescent="0.3">
      <c r="A13" s="9" t="s">
        <v>2</v>
      </c>
      <c r="B13" s="23">
        <f>B8/$E$8</f>
        <v>0.23076923076923078</v>
      </c>
      <c r="C13" s="23">
        <f t="shared" ref="C13:H13" si="4">C8/$E$8</f>
        <v>0</v>
      </c>
      <c r="D13" s="23">
        <f t="shared" si="4"/>
        <v>-0.38461538461538458</v>
      </c>
      <c r="E13" s="23">
        <f t="shared" si="4"/>
        <v>1</v>
      </c>
      <c r="F13" s="23">
        <f t="shared" si="4"/>
        <v>-0.76923076923076916</v>
      </c>
      <c r="G13" s="23">
        <f t="shared" si="4"/>
        <v>0.23076923076923078</v>
      </c>
      <c r="H13" s="23">
        <f t="shared" si="4"/>
        <v>-7.6923076923076927E-2</v>
      </c>
    </row>
    <row r="14" spans="1:9" x14ac:dyDescent="0.3">
      <c r="A14" s="9" t="s">
        <v>0</v>
      </c>
      <c r="B14" s="23">
        <f t="shared" ref="B14:H14" si="5">B9-$E9/$E$8*B$8</f>
        <v>1.0769230769230769</v>
      </c>
      <c r="C14" s="23">
        <f t="shared" si="5"/>
        <v>1</v>
      </c>
      <c r="D14" s="23">
        <f t="shared" si="5"/>
        <v>0.53846153846153844</v>
      </c>
      <c r="E14" s="23">
        <f t="shared" si="5"/>
        <v>0</v>
      </c>
      <c r="F14" s="23">
        <f t="shared" si="5"/>
        <v>1.0769230769230769</v>
      </c>
      <c r="G14" s="23">
        <f t="shared" si="5"/>
        <v>7.6923076923076927E-2</v>
      </c>
      <c r="H14" s="23">
        <f t="shared" si="5"/>
        <v>0.30769230769230765</v>
      </c>
    </row>
    <row r="15" spans="1:9" x14ac:dyDescent="0.3">
      <c r="B15" s="23"/>
      <c r="C15" s="23"/>
      <c r="D15" s="23"/>
      <c r="E15" s="23"/>
      <c r="F15" s="23"/>
      <c r="G15" s="23"/>
      <c r="H15" s="23"/>
    </row>
    <row r="16" spans="1:9" x14ac:dyDescent="0.3">
      <c r="B16" s="23"/>
      <c r="C16" s="23" t="s">
        <v>0</v>
      </c>
      <c r="D16" s="23" t="s">
        <v>1</v>
      </c>
      <c r="E16" s="23" t="s">
        <v>2</v>
      </c>
      <c r="F16" s="23" t="s">
        <v>3</v>
      </c>
      <c r="G16" s="23"/>
      <c r="H16" s="23"/>
    </row>
    <row r="17" spans="1:8" x14ac:dyDescent="0.3">
      <c r="A17" s="9" t="s">
        <v>22</v>
      </c>
      <c r="B17" s="23">
        <v>3.9230769230769229</v>
      </c>
      <c r="C17" s="9">
        <v>0</v>
      </c>
      <c r="D17" s="23">
        <v>3.7692307692307692</v>
      </c>
      <c r="E17" s="23">
        <v>0</v>
      </c>
      <c r="F17" s="23">
        <v>3.5384615384615383</v>
      </c>
    </row>
    <row r="18" spans="1:8" x14ac:dyDescent="0.3">
      <c r="A18" s="9" t="s">
        <v>2</v>
      </c>
      <c r="B18" s="23">
        <v>0.23076923076923078</v>
      </c>
      <c r="C18" s="23">
        <v>0</v>
      </c>
      <c r="D18" s="23">
        <v>-0.38461538461538464</v>
      </c>
      <c r="E18" s="23">
        <v>1</v>
      </c>
      <c r="F18" s="23">
        <v>-0.76923076923076927</v>
      </c>
      <c r="G18" s="23"/>
      <c r="H18" s="23"/>
    </row>
    <row r="19" spans="1:8" x14ac:dyDescent="0.3">
      <c r="A19" s="9" t="s">
        <v>0</v>
      </c>
      <c r="B19" s="23">
        <v>1.0769230769230769</v>
      </c>
      <c r="C19" s="23">
        <v>1</v>
      </c>
      <c r="D19" s="23">
        <v>0.53846153846153844</v>
      </c>
      <c r="E19" s="23">
        <v>0</v>
      </c>
      <c r="F19" s="23">
        <v>1.0769230769230769</v>
      </c>
      <c r="G19" s="23"/>
      <c r="H19" s="23"/>
    </row>
    <row r="20" spans="1:8" x14ac:dyDescent="0.3">
      <c r="B20" s="23"/>
      <c r="C20" s="23"/>
      <c r="D20" s="23"/>
      <c r="E20" s="23"/>
      <c r="F20" s="23"/>
      <c r="G20" s="23"/>
      <c r="H20" s="23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Симплекс-метод</vt:lpstr>
      <vt:lpstr>Искусственный базис</vt:lpstr>
      <vt:lpstr>Лист1</vt:lpstr>
      <vt:lpstr>Лист1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Данияр Нурсалимов</cp:lastModifiedBy>
  <dcterms:created xsi:type="dcterms:W3CDTF">2023-10-17T14:42:43Z</dcterms:created>
  <dcterms:modified xsi:type="dcterms:W3CDTF">2023-12-16T13:13:59Z</dcterms:modified>
</cp:coreProperties>
</file>